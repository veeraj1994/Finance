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Neil\Box Sync\teaching\Fin567C.spring2017\homework\"/>
    </mc:Choice>
  </mc:AlternateContent>
  <bookViews>
    <workbookView xWindow="1365" yWindow="1005" windowWidth="20865" windowHeight="15975" activeTab="3"/>
  </bookViews>
  <sheets>
    <sheet name="Simulation_inputs" sheetId="1" r:id="rId1"/>
    <sheet name="Square_Root" sheetId="2" r:id="rId2"/>
    <sheet name="Output" sheetId="3" r:id="rId3"/>
    <sheet name="Q3&amp;4" sheetId="18" r:id="rId4"/>
    <sheet name="Module1" sheetId="17" state="veryHidden" r:id=""/>
  </sheets>
  <functionGroups builtInGroupCount="18"/>
  <definedNames>
    <definedName name="Hypothetical_Value">Simulation_inputs!$B$39</definedName>
    <definedName name="iterations">Simulation_inputs!$B$31</definedName>
    <definedName name="sigma1">Simulation_inputs!$D$20</definedName>
    <definedName name="sigma10">Simulation_inputs!$D$29</definedName>
    <definedName name="sigma2">Simulation_inputs!$D$21</definedName>
    <definedName name="sigma3">Simulation_inputs!$D$22</definedName>
    <definedName name="sigma4">Simulation_inputs!$D$23</definedName>
    <definedName name="sigma5">Simulation_inputs!$D$24</definedName>
    <definedName name="sigma6">Simulation_inputs!$D$25</definedName>
    <definedName name="sigma7">Simulation_inputs!$D$26</definedName>
    <definedName name="sigma8">Simulation_inputs!$D$27</definedName>
    <definedName name="sigma9">Simulation_inputs!$D$28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18" l="1"/>
  <c r="B51" i="1"/>
  <c r="C51" i="1"/>
  <c r="C13" i="2"/>
  <c r="A13" i="2"/>
  <c r="C9" i="2"/>
  <c r="C28" i="2"/>
  <c r="N28" i="2"/>
  <c r="C42" i="2"/>
  <c r="O42" i="2"/>
  <c r="C113" i="2"/>
  <c r="D51" i="1"/>
  <c r="N51" i="1"/>
  <c r="W34" i="1"/>
  <c r="B52" i="1"/>
  <c r="C52" i="1"/>
  <c r="B53" i="1"/>
  <c r="C53" i="1"/>
  <c r="C14" i="2"/>
  <c r="A14" i="2"/>
  <c r="C29" i="2"/>
  <c r="C71" i="2"/>
  <c r="P42" i="2"/>
  <c r="O43" i="2"/>
  <c r="D13" i="2"/>
  <c r="D9" i="2"/>
  <c r="D28" i="2"/>
  <c r="D14" i="2"/>
  <c r="D29" i="2"/>
  <c r="N29" i="2"/>
  <c r="D43" i="2"/>
  <c r="P43" i="2"/>
  <c r="D113" i="2"/>
  <c r="E51" i="1"/>
  <c r="W35" i="1"/>
  <c r="W37" i="1"/>
  <c r="W38" i="1"/>
  <c r="W39" i="1"/>
  <c r="W40" i="1"/>
  <c r="W41" i="1"/>
  <c r="X34" i="1"/>
  <c r="X35" i="1"/>
  <c r="S37" i="1"/>
  <c r="X37" i="1"/>
  <c r="S38" i="1"/>
  <c r="X38" i="1"/>
  <c r="X39" i="1"/>
  <c r="X40" i="1"/>
  <c r="X41" i="1"/>
  <c r="B54" i="1"/>
  <c r="C54" i="1"/>
  <c r="S34" i="1"/>
  <c r="S41" i="1"/>
  <c r="S42" i="1"/>
  <c r="S43" i="1"/>
  <c r="S44" i="1"/>
  <c r="S45" i="1"/>
  <c r="S46" i="1"/>
  <c r="R41" i="1"/>
  <c r="R42" i="1"/>
  <c r="R43" i="1"/>
  <c r="R44" i="1"/>
  <c r="R45" i="1"/>
  <c r="R46" i="1"/>
  <c r="T34" i="1"/>
  <c r="U34" i="1"/>
  <c r="U38" i="1"/>
  <c r="Z40" i="1"/>
  <c r="Y40" i="1"/>
  <c r="Z39" i="1"/>
  <c r="Z41" i="1"/>
  <c r="Y39" i="1"/>
  <c r="Z38" i="1"/>
  <c r="Y38" i="1"/>
  <c r="Y37" i="1"/>
  <c r="Z35" i="1"/>
  <c r="Y35" i="1"/>
  <c r="U41" i="1"/>
  <c r="U37" i="1"/>
  <c r="U43" i="1"/>
  <c r="Z37" i="1"/>
  <c r="E10" i="18"/>
  <c r="F10" i="18"/>
  <c r="F9" i="18"/>
  <c r="T41" i="1"/>
  <c r="B60" i="1"/>
  <c r="C60" i="1"/>
  <c r="B59" i="1"/>
  <c r="C59" i="1"/>
  <c r="B58" i="1"/>
  <c r="C58" i="1"/>
  <c r="B57" i="1"/>
  <c r="C57" i="1"/>
  <c r="B56" i="1"/>
  <c r="C56" i="1"/>
  <c r="B55" i="1"/>
  <c r="C55" i="1"/>
  <c r="C15" i="2"/>
  <c r="A15" i="2"/>
  <c r="C86" i="2"/>
  <c r="D86" i="2"/>
  <c r="E86" i="2"/>
  <c r="E13" i="2"/>
  <c r="E9" i="2"/>
  <c r="E14" i="2"/>
  <c r="D15" i="2"/>
  <c r="E15" i="2"/>
  <c r="C84" i="2"/>
  <c r="C85" i="2"/>
  <c r="D85" i="2"/>
  <c r="C16" i="2"/>
  <c r="A16" i="2"/>
  <c r="D16" i="2"/>
  <c r="E16" i="2"/>
  <c r="C87" i="2"/>
  <c r="D87" i="2"/>
  <c r="E87" i="2"/>
  <c r="F87" i="2"/>
  <c r="F13" i="2"/>
  <c r="F9" i="2"/>
  <c r="F14" i="2"/>
  <c r="F15" i="2"/>
  <c r="F16" i="2"/>
  <c r="C17" i="2"/>
  <c r="A17" i="2"/>
  <c r="D17" i="2"/>
  <c r="E17" i="2"/>
  <c r="F17" i="2"/>
  <c r="C88" i="2"/>
  <c r="D88" i="2"/>
  <c r="E88" i="2"/>
  <c r="F88" i="2"/>
  <c r="G88" i="2"/>
  <c r="G13" i="2"/>
  <c r="G9" i="2"/>
  <c r="G14" i="2"/>
  <c r="G15" i="2"/>
  <c r="G16" i="2"/>
  <c r="G17" i="2"/>
  <c r="G18" i="2"/>
  <c r="A18" i="2"/>
  <c r="C18" i="2"/>
  <c r="D18" i="2"/>
  <c r="E18" i="2"/>
  <c r="F18" i="2"/>
  <c r="C89" i="2"/>
  <c r="D89" i="2"/>
  <c r="E89" i="2"/>
  <c r="F89" i="2"/>
  <c r="G89" i="2"/>
  <c r="H89" i="2"/>
  <c r="H17" i="2"/>
  <c r="H9" i="2"/>
  <c r="H13" i="2"/>
  <c r="H14" i="2"/>
  <c r="H15" i="2"/>
  <c r="H16" i="2"/>
  <c r="H18" i="2"/>
  <c r="F19" i="2"/>
  <c r="A19" i="2"/>
  <c r="C19" i="2"/>
  <c r="D19" i="2"/>
  <c r="E19" i="2"/>
  <c r="G19" i="2"/>
  <c r="H19" i="2"/>
  <c r="C90" i="2"/>
  <c r="D90" i="2"/>
  <c r="E90" i="2"/>
  <c r="F90" i="2"/>
  <c r="G90" i="2"/>
  <c r="H90" i="2"/>
  <c r="I90" i="2"/>
  <c r="I16" i="2"/>
  <c r="I9" i="2"/>
  <c r="I13" i="2"/>
  <c r="I14" i="2"/>
  <c r="I15" i="2"/>
  <c r="I17" i="2"/>
  <c r="I18" i="2"/>
  <c r="I19" i="2"/>
  <c r="C20" i="2"/>
  <c r="A20" i="2"/>
  <c r="D20" i="2"/>
  <c r="E20" i="2"/>
  <c r="F20" i="2"/>
  <c r="G20" i="2"/>
  <c r="H20" i="2"/>
  <c r="I20" i="2"/>
  <c r="C91" i="2"/>
  <c r="D91" i="2"/>
  <c r="E91" i="2"/>
  <c r="F91" i="2"/>
  <c r="G91" i="2"/>
  <c r="H91" i="2"/>
  <c r="I91" i="2"/>
  <c r="J91" i="2"/>
  <c r="J13" i="2"/>
  <c r="J9" i="2"/>
  <c r="J14" i="2"/>
  <c r="J15" i="2"/>
  <c r="J16" i="2"/>
  <c r="J17" i="2"/>
  <c r="J18" i="2"/>
  <c r="J19" i="2"/>
  <c r="J20" i="2"/>
  <c r="C21" i="2"/>
  <c r="A21" i="2"/>
  <c r="D21" i="2"/>
  <c r="E21" i="2"/>
  <c r="F21" i="2"/>
  <c r="G21" i="2"/>
  <c r="H21" i="2"/>
  <c r="I21" i="2"/>
  <c r="J21" i="2"/>
  <c r="C92" i="2"/>
  <c r="D92" i="2"/>
  <c r="E92" i="2"/>
  <c r="F92" i="2"/>
  <c r="G92" i="2"/>
  <c r="H92" i="2"/>
  <c r="I92" i="2"/>
  <c r="J92" i="2"/>
  <c r="K92" i="2"/>
  <c r="K13" i="2"/>
  <c r="K9" i="2"/>
  <c r="K14" i="2"/>
  <c r="K15" i="2"/>
  <c r="K16" i="2"/>
  <c r="K17" i="2"/>
  <c r="K18" i="2"/>
  <c r="K19" i="2"/>
  <c r="K20" i="2"/>
  <c r="K21" i="2"/>
  <c r="C22" i="2"/>
  <c r="A22" i="2"/>
  <c r="D22" i="2"/>
  <c r="E22" i="2"/>
  <c r="F22" i="2"/>
  <c r="G22" i="2"/>
  <c r="H22" i="2"/>
  <c r="I22" i="2"/>
  <c r="J22" i="2"/>
  <c r="K22" i="2"/>
  <c r="L9" i="2"/>
  <c r="L15" i="2"/>
  <c r="L16" i="2"/>
  <c r="L17" i="2"/>
  <c r="L18" i="2"/>
  <c r="L19" i="2"/>
  <c r="L20" i="2"/>
  <c r="L21" i="2"/>
  <c r="L13" i="2"/>
  <c r="L14" i="2"/>
  <c r="L22" i="2"/>
  <c r="C93" i="2"/>
  <c r="D93" i="2"/>
  <c r="E93" i="2"/>
  <c r="F93" i="2"/>
  <c r="G93" i="2"/>
  <c r="H93" i="2"/>
  <c r="I93" i="2"/>
  <c r="J93" i="2"/>
  <c r="K93" i="2"/>
  <c r="L93" i="2"/>
  <c r="Q42" i="2"/>
  <c r="R42" i="2"/>
  <c r="S42" i="2"/>
  <c r="T42" i="2"/>
  <c r="U42" i="2"/>
  <c r="V42" i="2"/>
  <c r="W42" i="2"/>
  <c r="Q43" i="2"/>
  <c r="R43" i="2"/>
  <c r="S43" i="2"/>
  <c r="T43" i="2"/>
  <c r="U43" i="2"/>
  <c r="V43" i="2"/>
  <c r="W43" i="2"/>
  <c r="O44" i="2"/>
  <c r="P44" i="2"/>
  <c r="R44" i="2"/>
  <c r="S44" i="2"/>
  <c r="T44" i="2"/>
  <c r="U44" i="2"/>
  <c r="V44" i="2"/>
  <c r="W44" i="2"/>
  <c r="O45" i="2"/>
  <c r="P45" i="2"/>
  <c r="Q45" i="2"/>
  <c r="S45" i="2"/>
  <c r="T45" i="2"/>
  <c r="U45" i="2"/>
  <c r="V45" i="2"/>
  <c r="W45" i="2"/>
  <c r="O46" i="2"/>
  <c r="P46" i="2"/>
  <c r="Q46" i="2"/>
  <c r="R46" i="2"/>
  <c r="T46" i="2"/>
  <c r="U46" i="2"/>
  <c r="V46" i="2"/>
  <c r="W46" i="2"/>
  <c r="O47" i="2"/>
  <c r="P47" i="2"/>
  <c r="Q47" i="2"/>
  <c r="R47" i="2"/>
  <c r="S47" i="2"/>
  <c r="U47" i="2"/>
  <c r="V47" i="2"/>
  <c r="W47" i="2"/>
  <c r="O48" i="2"/>
  <c r="P48" i="2"/>
  <c r="Q48" i="2"/>
  <c r="R48" i="2"/>
  <c r="S48" i="2"/>
  <c r="T48" i="2"/>
  <c r="V48" i="2"/>
  <c r="W48" i="2"/>
  <c r="O49" i="2"/>
  <c r="P49" i="2"/>
  <c r="Q49" i="2"/>
  <c r="R49" i="2"/>
  <c r="S49" i="2"/>
  <c r="T49" i="2"/>
  <c r="U49" i="2"/>
  <c r="W49" i="2"/>
  <c r="O50" i="2"/>
  <c r="P50" i="2"/>
  <c r="Q50" i="2"/>
  <c r="R50" i="2"/>
  <c r="S50" i="2"/>
  <c r="T50" i="2"/>
  <c r="U50" i="2"/>
  <c r="V50" i="2"/>
  <c r="X42" i="2"/>
  <c r="X43" i="2"/>
  <c r="X44" i="2"/>
  <c r="X45" i="2"/>
  <c r="X46" i="2"/>
  <c r="X47" i="2"/>
  <c r="X48" i="2"/>
  <c r="X49" i="2"/>
  <c r="X50" i="2"/>
  <c r="O51" i="2"/>
  <c r="P51" i="2"/>
  <c r="Q51" i="2"/>
  <c r="R51" i="2"/>
  <c r="S51" i="2"/>
  <c r="T51" i="2"/>
  <c r="U51" i="2"/>
  <c r="V51" i="2"/>
  <c r="W51" i="2"/>
  <c r="Y41" i="1"/>
  <c r="D36" i="2"/>
  <c r="E28" i="2"/>
  <c r="I35" i="2"/>
  <c r="K34" i="2"/>
  <c r="E36" i="2"/>
  <c r="F35" i="2"/>
  <c r="E37" i="2"/>
  <c r="D37" i="2"/>
  <c r="U42" i="1"/>
  <c r="U44" i="1"/>
  <c r="I30" i="2"/>
  <c r="H29" i="2"/>
  <c r="F33" i="2"/>
  <c r="G30" i="2"/>
  <c r="E29" i="2"/>
  <c r="K35" i="2"/>
  <c r="J30" i="2"/>
  <c r="G29" i="2"/>
  <c r="F30" i="2"/>
  <c r="E30" i="2"/>
  <c r="G36" i="2"/>
  <c r="J29" i="2"/>
  <c r="F37" i="2"/>
  <c r="D32" i="2"/>
  <c r="D30" i="2"/>
  <c r="I29" i="2"/>
  <c r="I34" i="2"/>
  <c r="D35" i="2"/>
  <c r="G32" i="2"/>
  <c r="K33" i="2"/>
  <c r="I37" i="2"/>
  <c r="K30" i="2"/>
  <c r="L30" i="2"/>
  <c r="K37" i="2"/>
  <c r="J37" i="2"/>
  <c r="T43" i="1"/>
  <c r="E35" i="2"/>
  <c r="K28" i="2"/>
  <c r="F28" i="2"/>
  <c r="L34" i="2"/>
  <c r="H35" i="2"/>
  <c r="H33" i="2"/>
  <c r="J35" i="2"/>
  <c r="D33" i="2"/>
  <c r="G35" i="2"/>
  <c r="H37" i="2"/>
  <c r="H30" i="2"/>
  <c r="H34" i="2"/>
  <c r="H36" i="2"/>
  <c r="G34" i="2"/>
  <c r="G33" i="2"/>
  <c r="F29" i="2"/>
  <c r="L37" i="2"/>
  <c r="K29" i="2"/>
  <c r="J33" i="2"/>
  <c r="I33" i="2"/>
  <c r="E34" i="2"/>
  <c r="D31" i="2"/>
  <c r="L35" i="2"/>
  <c r="I28" i="2"/>
  <c r="E32" i="2"/>
  <c r="G37" i="2"/>
  <c r="I36" i="2"/>
  <c r="J36" i="2"/>
  <c r="G28" i="2"/>
  <c r="J28" i="2"/>
  <c r="F32" i="2"/>
  <c r="J34" i="2"/>
  <c r="L29" i="2"/>
  <c r="K36" i="2"/>
  <c r="I32" i="2"/>
  <c r="D34" i="2"/>
  <c r="C36" i="2"/>
  <c r="H28" i="2"/>
  <c r="L32" i="2"/>
  <c r="J32" i="2"/>
  <c r="L36" i="2"/>
  <c r="K32" i="2"/>
  <c r="L33" i="2"/>
  <c r="F36" i="2"/>
  <c r="F34" i="2"/>
  <c r="E33" i="2"/>
  <c r="L28" i="2"/>
  <c r="H32" i="2"/>
  <c r="C32" i="2"/>
  <c r="C30" i="2"/>
  <c r="L31" i="2"/>
  <c r="C31" i="2"/>
  <c r="C34" i="2"/>
  <c r="J31" i="2"/>
  <c r="G31" i="2"/>
  <c r="K31" i="2"/>
  <c r="I31" i="2"/>
  <c r="F31" i="2"/>
  <c r="C37" i="2"/>
  <c r="E31" i="2"/>
  <c r="H31" i="2"/>
  <c r="C35" i="2"/>
  <c r="C33" i="2"/>
  <c r="T42" i="1"/>
  <c r="U45" i="1"/>
  <c r="U46" i="1"/>
  <c r="N30" i="2"/>
  <c r="N32" i="2"/>
  <c r="C56" i="2"/>
  <c r="N33" i="2"/>
  <c r="N36" i="2"/>
  <c r="N31" i="2"/>
  <c r="N35" i="2"/>
  <c r="N37" i="2"/>
  <c r="N34" i="2"/>
  <c r="D84" i="2"/>
  <c r="T44" i="1"/>
  <c r="T45" i="1"/>
  <c r="T46" i="1"/>
  <c r="R47" i="1"/>
  <c r="H47" i="2"/>
  <c r="C98" i="2"/>
  <c r="G46" i="2"/>
  <c r="S46" i="2"/>
  <c r="F45" i="2"/>
  <c r="R45" i="2"/>
  <c r="K50" i="2"/>
  <c r="W50" i="2"/>
  <c r="I48" i="2"/>
  <c r="I62" i="2"/>
  <c r="L51" i="2"/>
  <c r="X51" i="2"/>
  <c r="E44" i="2"/>
  <c r="J49" i="2"/>
  <c r="J63" i="2"/>
  <c r="H61" i="2"/>
  <c r="T47" i="2"/>
  <c r="C114" i="2"/>
  <c r="D52" i="1"/>
  <c r="G60" i="2"/>
  <c r="K64" i="2"/>
  <c r="D114" i="2"/>
  <c r="E52" i="1"/>
  <c r="D98" i="2"/>
  <c r="F59" i="2"/>
  <c r="L65" i="2"/>
  <c r="U48" i="2"/>
  <c r="D99" i="2"/>
  <c r="D57" i="2"/>
  <c r="D72" i="2"/>
  <c r="E85" i="2"/>
  <c r="C99" i="2"/>
  <c r="V49" i="2"/>
  <c r="E58" i="2"/>
  <c r="Q44" i="2"/>
  <c r="C127" i="2" a="1"/>
  <c r="C128" i="2"/>
  <c r="C127" i="2"/>
  <c r="D127" i="2"/>
  <c r="D128" i="2"/>
  <c r="C141" i="2"/>
  <c r="D142" i="2"/>
  <c r="D141" i="2"/>
  <c r="C142" i="2"/>
  <c r="N52" i="1"/>
  <c r="Z34" i="1"/>
  <c r="Y34" i="1"/>
  <c r="C72" i="2"/>
  <c r="E113" i="2"/>
  <c r="F51" i="1"/>
  <c r="E114" i="2"/>
  <c r="F52" i="1"/>
  <c r="C115" i="2"/>
  <c r="D53" i="1"/>
  <c r="D115" i="2"/>
  <c r="E53" i="1"/>
  <c r="E115" i="2"/>
  <c r="F53" i="1"/>
  <c r="N53" i="1"/>
  <c r="W36" i="1"/>
  <c r="W42" i="1"/>
  <c r="W43" i="1"/>
  <c r="W44" i="1"/>
  <c r="W45" i="1"/>
  <c r="W46" i="1"/>
  <c r="X36" i="1"/>
  <c r="X42" i="1"/>
  <c r="X43" i="1"/>
  <c r="X44" i="1"/>
  <c r="X45" i="1"/>
  <c r="X46" i="1"/>
  <c r="E84" i="2"/>
  <c r="C73" i="2"/>
  <c r="D73" i="2"/>
  <c r="E73" i="2"/>
  <c r="F113" i="2"/>
  <c r="G51" i="1"/>
  <c r="F114" i="2"/>
  <c r="G52" i="1"/>
  <c r="F115" i="2"/>
  <c r="G53" i="1"/>
  <c r="C116" i="2"/>
  <c r="D54" i="1"/>
  <c r="D116" i="2"/>
  <c r="E54" i="1"/>
  <c r="E116" i="2"/>
  <c r="F54" i="1"/>
  <c r="F116" i="2"/>
  <c r="G54" i="1"/>
  <c r="N54" i="1"/>
  <c r="Y36" i="1"/>
  <c r="Y42" i="1"/>
  <c r="Y43" i="1"/>
  <c r="Y44" i="1"/>
  <c r="Y45" i="1"/>
  <c r="Y46" i="1"/>
  <c r="Z36" i="1"/>
  <c r="Z42" i="1"/>
  <c r="Z43" i="1"/>
  <c r="Z44" i="1"/>
  <c r="Z45" i="1"/>
  <c r="Z46" i="1"/>
  <c r="W47" i="1"/>
  <c r="B39" i="1"/>
  <c r="F84" i="2"/>
  <c r="F85" i="2"/>
  <c r="F86" i="2"/>
  <c r="C74" i="2"/>
  <c r="D74" i="2"/>
  <c r="E74" i="2"/>
  <c r="F74" i="2"/>
  <c r="G113" i="2"/>
  <c r="G84" i="2"/>
  <c r="G85" i="2"/>
  <c r="G86" i="2"/>
  <c r="G87" i="2"/>
  <c r="C75" i="2"/>
  <c r="D75" i="2"/>
  <c r="E75" i="2"/>
  <c r="F75" i="2"/>
  <c r="G75" i="2"/>
  <c r="H113" i="2"/>
  <c r="H84" i="2"/>
  <c r="H85" i="2"/>
  <c r="H86" i="2"/>
  <c r="H87" i="2"/>
  <c r="H88" i="2"/>
  <c r="C76" i="2"/>
  <c r="D76" i="2"/>
  <c r="E76" i="2"/>
  <c r="F76" i="2"/>
  <c r="G76" i="2"/>
  <c r="H76" i="2"/>
  <c r="I113" i="2"/>
  <c r="I84" i="2"/>
  <c r="I85" i="2"/>
  <c r="I86" i="2"/>
  <c r="I87" i="2"/>
  <c r="I88" i="2"/>
  <c r="I89" i="2"/>
  <c r="C77" i="2"/>
  <c r="D77" i="2"/>
  <c r="E77" i="2"/>
  <c r="F77" i="2"/>
  <c r="G77" i="2"/>
  <c r="H77" i="2"/>
  <c r="I77" i="2"/>
  <c r="J113" i="2"/>
  <c r="J84" i="2"/>
  <c r="J85" i="2"/>
  <c r="J86" i="2"/>
  <c r="J87" i="2"/>
  <c r="J88" i="2"/>
  <c r="J89" i="2"/>
  <c r="J90" i="2"/>
  <c r="C78" i="2"/>
  <c r="D78" i="2"/>
  <c r="E78" i="2"/>
  <c r="F78" i="2"/>
  <c r="G78" i="2"/>
  <c r="H78" i="2"/>
  <c r="I78" i="2"/>
  <c r="J78" i="2"/>
  <c r="K113" i="2"/>
  <c r="K84" i="2"/>
  <c r="K85" i="2"/>
  <c r="K86" i="2"/>
  <c r="K87" i="2"/>
  <c r="K88" i="2"/>
  <c r="K89" i="2"/>
  <c r="K90" i="2"/>
  <c r="K91" i="2"/>
  <c r="C79" i="2"/>
  <c r="D79" i="2"/>
  <c r="E79" i="2"/>
  <c r="F79" i="2"/>
  <c r="G79" i="2"/>
  <c r="H79" i="2"/>
  <c r="I79" i="2"/>
  <c r="J79" i="2"/>
  <c r="K79" i="2"/>
  <c r="L113" i="2"/>
  <c r="G114" i="2"/>
  <c r="H114" i="2"/>
  <c r="I114" i="2"/>
  <c r="J114" i="2"/>
  <c r="K114" i="2"/>
  <c r="L114" i="2"/>
  <c r="G115" i="2"/>
  <c r="H115" i="2"/>
  <c r="I115" i="2"/>
  <c r="J115" i="2"/>
  <c r="K115" i="2"/>
  <c r="L115" i="2"/>
  <c r="G116" i="2"/>
  <c r="H116" i="2"/>
  <c r="I116" i="2"/>
  <c r="J116" i="2"/>
  <c r="K116" i="2"/>
  <c r="L116" i="2"/>
  <c r="C117" i="2"/>
  <c r="D117" i="2"/>
  <c r="E117" i="2"/>
  <c r="F117" i="2"/>
  <c r="G117" i="2"/>
  <c r="H117" i="2"/>
  <c r="I117" i="2"/>
  <c r="J117" i="2"/>
  <c r="K117" i="2"/>
  <c r="L117" i="2"/>
  <c r="C118" i="2"/>
  <c r="D118" i="2"/>
  <c r="E118" i="2"/>
  <c r="F118" i="2"/>
  <c r="G118" i="2"/>
  <c r="H118" i="2"/>
  <c r="I118" i="2"/>
  <c r="J118" i="2"/>
  <c r="K118" i="2"/>
  <c r="L118" i="2"/>
  <c r="C119" i="2"/>
  <c r="D119" i="2"/>
  <c r="E119" i="2"/>
  <c r="F119" i="2"/>
  <c r="G119" i="2"/>
  <c r="H119" i="2"/>
  <c r="I119" i="2"/>
  <c r="J119" i="2"/>
  <c r="K119" i="2"/>
  <c r="L119" i="2"/>
  <c r="C120" i="2"/>
  <c r="D120" i="2"/>
  <c r="E120" i="2"/>
  <c r="F120" i="2"/>
  <c r="G120" i="2"/>
  <c r="H120" i="2"/>
  <c r="I120" i="2"/>
  <c r="J120" i="2"/>
  <c r="K120" i="2"/>
  <c r="L120" i="2"/>
  <c r="C121" i="2"/>
  <c r="D121" i="2"/>
  <c r="E121" i="2"/>
  <c r="F121" i="2"/>
  <c r="G121" i="2"/>
  <c r="H121" i="2"/>
  <c r="I121" i="2"/>
  <c r="J121" i="2"/>
  <c r="K121" i="2"/>
  <c r="L121" i="2"/>
  <c r="C122" i="2"/>
  <c r="D122" i="2"/>
  <c r="E122" i="2"/>
  <c r="F122" i="2"/>
  <c r="G122" i="2"/>
  <c r="H122" i="2"/>
  <c r="I122" i="2"/>
  <c r="J122" i="2"/>
  <c r="K122" i="2"/>
  <c r="L122" i="2"/>
  <c r="E127" i="2"/>
  <c r="F127" i="2"/>
  <c r="G127" i="2"/>
  <c r="H127" i="2"/>
  <c r="I127" i="2"/>
  <c r="J127" i="2"/>
  <c r="K127" i="2"/>
  <c r="L127" i="2"/>
  <c r="E128" i="2"/>
  <c r="F128" i="2"/>
  <c r="G128" i="2"/>
  <c r="H128" i="2"/>
  <c r="I128" i="2"/>
  <c r="J128" i="2"/>
  <c r="K128" i="2"/>
  <c r="L128" i="2"/>
  <c r="C129" i="2"/>
  <c r="D129" i="2"/>
  <c r="E129" i="2"/>
  <c r="F129" i="2"/>
  <c r="G129" i="2"/>
  <c r="H129" i="2"/>
  <c r="I129" i="2"/>
  <c r="J129" i="2"/>
  <c r="K129" i="2"/>
  <c r="L129" i="2"/>
  <c r="C130" i="2"/>
  <c r="D130" i="2"/>
  <c r="E130" i="2"/>
  <c r="F130" i="2"/>
  <c r="G130" i="2"/>
  <c r="H130" i="2"/>
  <c r="I130" i="2"/>
  <c r="J130" i="2"/>
  <c r="K130" i="2"/>
  <c r="L130" i="2"/>
  <c r="C131" i="2"/>
  <c r="D131" i="2"/>
  <c r="E131" i="2"/>
  <c r="F131" i="2"/>
  <c r="G131" i="2"/>
  <c r="H131" i="2"/>
  <c r="I131" i="2"/>
  <c r="J131" i="2"/>
  <c r="K131" i="2"/>
  <c r="L131" i="2"/>
  <c r="C132" i="2"/>
  <c r="D132" i="2"/>
  <c r="E132" i="2"/>
  <c r="F132" i="2"/>
  <c r="G132" i="2"/>
  <c r="H132" i="2"/>
  <c r="I132" i="2"/>
  <c r="J132" i="2"/>
  <c r="K132" i="2"/>
  <c r="L132" i="2"/>
  <c r="C133" i="2"/>
  <c r="D133" i="2"/>
  <c r="E133" i="2"/>
  <c r="F133" i="2"/>
  <c r="G133" i="2"/>
  <c r="H133" i="2"/>
  <c r="I133" i="2"/>
  <c r="J133" i="2"/>
  <c r="K133" i="2"/>
  <c r="L133" i="2"/>
  <c r="C134" i="2"/>
  <c r="D134" i="2"/>
  <c r="E134" i="2"/>
  <c r="F134" i="2"/>
  <c r="G134" i="2"/>
  <c r="H134" i="2"/>
  <c r="I134" i="2"/>
  <c r="J134" i="2"/>
  <c r="K134" i="2"/>
  <c r="L134" i="2"/>
  <c r="C135" i="2"/>
  <c r="D135" i="2"/>
  <c r="E135" i="2"/>
  <c r="F135" i="2"/>
  <c r="G135" i="2"/>
  <c r="H135" i="2"/>
  <c r="I135" i="2"/>
  <c r="J135" i="2"/>
  <c r="K135" i="2"/>
  <c r="L135" i="2"/>
  <c r="C136" i="2"/>
  <c r="D136" i="2"/>
  <c r="E136" i="2"/>
  <c r="F136" i="2"/>
  <c r="G136" i="2"/>
  <c r="H136" i="2"/>
  <c r="I136" i="2"/>
  <c r="J136" i="2"/>
  <c r="K136" i="2"/>
  <c r="L136" i="2"/>
  <c r="G147" i="2"/>
  <c r="F150" i="2"/>
  <c r="F149" i="2"/>
  <c r="F148" i="2"/>
  <c r="K141" i="2"/>
  <c r="F146" i="2"/>
  <c r="F147" i="2"/>
  <c r="J147" i="2"/>
  <c r="E144" i="2"/>
  <c r="H143" i="2"/>
  <c r="D148" i="2"/>
  <c r="F144" i="2"/>
  <c r="L150" i="2"/>
  <c r="L147" i="2"/>
  <c r="J141" i="2"/>
  <c r="I141" i="2"/>
  <c r="J144" i="2"/>
  <c r="L149" i="2"/>
  <c r="K148" i="2"/>
  <c r="H145" i="2"/>
  <c r="C143" i="2"/>
  <c r="I149" i="2"/>
  <c r="G143" i="2"/>
  <c r="G149" i="2"/>
  <c r="F141" i="2"/>
  <c r="E150" i="2"/>
  <c r="L141" i="2"/>
  <c r="J149" i="2"/>
  <c r="F145" i="2"/>
  <c r="F142" i="2"/>
  <c r="J145" i="2"/>
  <c r="G141" i="2"/>
  <c r="J143" i="2"/>
  <c r="K145" i="2"/>
  <c r="C146" i="2"/>
  <c r="E146" i="2"/>
  <c r="G142" i="2"/>
  <c r="H149" i="2"/>
  <c r="K147" i="2"/>
  <c r="I144" i="2"/>
  <c r="J142" i="2"/>
  <c r="J146" i="2"/>
  <c r="C149" i="2"/>
  <c r="K149" i="2"/>
  <c r="E141" i="2"/>
  <c r="E149" i="2"/>
  <c r="E143" i="2"/>
  <c r="H148" i="2"/>
  <c r="D149" i="2"/>
  <c r="L145" i="2"/>
  <c r="L142" i="2"/>
  <c r="I146" i="2"/>
  <c r="F143" i="2"/>
  <c r="K146" i="2"/>
  <c r="D143" i="2"/>
  <c r="H147" i="2"/>
  <c r="I147" i="2"/>
  <c r="K150" i="2"/>
  <c r="H150" i="2"/>
  <c r="E148" i="2"/>
  <c r="I142" i="2"/>
  <c r="I145" i="2"/>
  <c r="J148" i="2"/>
  <c r="D147" i="2"/>
  <c r="H146" i="2"/>
  <c r="L148" i="2"/>
  <c r="G145" i="2"/>
  <c r="G146" i="2"/>
  <c r="C144" i="2"/>
  <c r="J150" i="2"/>
  <c r="C148" i="2"/>
  <c r="G148" i="2"/>
  <c r="D144" i="2"/>
  <c r="L144" i="2"/>
  <c r="H142" i="2"/>
  <c r="K144" i="2"/>
  <c r="I148" i="2"/>
  <c r="H141" i="2"/>
  <c r="L143" i="2"/>
  <c r="E147" i="2"/>
  <c r="E142" i="2"/>
  <c r="C150" i="2"/>
  <c r="K142" i="2"/>
  <c r="I150" i="2"/>
  <c r="E145" i="2"/>
  <c r="G144" i="2"/>
  <c r="D150" i="2"/>
  <c r="D145" i="2"/>
  <c r="C147" i="2"/>
  <c r="D146" i="2"/>
  <c r="I143" i="2"/>
  <c r="H144" i="2"/>
  <c r="L146" i="2"/>
  <c r="C145" i="2"/>
  <c r="G150" i="2"/>
  <c r="K143" i="2"/>
  <c r="H51" i="1"/>
  <c r="I51" i="1"/>
  <c r="J51" i="1"/>
  <c r="K51" i="1"/>
  <c r="L51" i="1"/>
  <c r="M51" i="1"/>
  <c r="H52" i="1"/>
  <c r="I52" i="1"/>
  <c r="J52" i="1"/>
  <c r="K52" i="1"/>
  <c r="L52" i="1"/>
  <c r="M52" i="1"/>
  <c r="H53" i="1"/>
  <c r="I53" i="1"/>
  <c r="J53" i="1"/>
  <c r="K53" i="1"/>
  <c r="L53" i="1"/>
  <c r="M53" i="1"/>
  <c r="H54" i="1"/>
  <c r="I54" i="1"/>
  <c r="J54" i="1"/>
  <c r="K54" i="1"/>
  <c r="L54" i="1"/>
  <c r="M54" i="1"/>
  <c r="D55" i="1"/>
  <c r="E55" i="1"/>
  <c r="F55" i="1"/>
  <c r="G55" i="1"/>
  <c r="H55" i="1"/>
  <c r="I55" i="1"/>
  <c r="J55" i="1"/>
  <c r="K55" i="1"/>
  <c r="L55" i="1"/>
  <c r="M55" i="1"/>
  <c r="D56" i="1"/>
  <c r="E56" i="1"/>
  <c r="F56" i="1"/>
  <c r="G56" i="1"/>
  <c r="H56" i="1"/>
  <c r="I56" i="1"/>
  <c r="J56" i="1"/>
  <c r="K56" i="1"/>
  <c r="L56" i="1"/>
  <c r="M56" i="1"/>
  <c r="D57" i="1"/>
  <c r="E57" i="1"/>
  <c r="F57" i="1"/>
  <c r="G57" i="1"/>
  <c r="H57" i="1"/>
  <c r="I57" i="1"/>
  <c r="J57" i="1"/>
  <c r="K57" i="1"/>
  <c r="L57" i="1"/>
  <c r="M57" i="1"/>
  <c r="D58" i="1"/>
  <c r="E58" i="1"/>
  <c r="F58" i="1"/>
  <c r="G58" i="1"/>
  <c r="H58" i="1"/>
  <c r="I58" i="1"/>
  <c r="J58" i="1"/>
  <c r="K58" i="1"/>
  <c r="L58" i="1"/>
  <c r="M58" i="1"/>
  <c r="D59" i="1"/>
  <c r="E59" i="1"/>
  <c r="F59" i="1"/>
  <c r="G59" i="1"/>
  <c r="H59" i="1"/>
  <c r="I59" i="1"/>
  <c r="J59" i="1"/>
  <c r="K59" i="1"/>
  <c r="L59" i="1"/>
  <c r="M59" i="1"/>
  <c r="D60" i="1"/>
  <c r="E60" i="1"/>
  <c r="F60" i="1"/>
  <c r="G60" i="1"/>
  <c r="H60" i="1"/>
  <c r="I60" i="1"/>
  <c r="J60" i="1"/>
  <c r="K60" i="1"/>
  <c r="L60" i="1"/>
  <c r="M60" i="1"/>
  <c r="N60" i="1"/>
  <c r="L84" i="2"/>
  <c r="L85" i="2"/>
  <c r="L86" i="2"/>
  <c r="L87" i="2"/>
  <c r="L88" i="2"/>
  <c r="L89" i="2"/>
  <c r="L90" i="2"/>
  <c r="L91" i="2"/>
  <c r="L92" i="2"/>
  <c r="L103" i="2"/>
  <c r="K107" i="2"/>
  <c r="E107" i="2"/>
  <c r="G107" i="2"/>
  <c r="F107" i="2"/>
  <c r="L106" i="2"/>
  <c r="L104" i="2"/>
  <c r="D107" i="2"/>
  <c r="H107" i="2"/>
  <c r="L105" i="2"/>
  <c r="L107" i="2"/>
  <c r="L100" i="2"/>
  <c r="L99" i="2"/>
  <c r="C107" i="2"/>
  <c r="L98" i="2"/>
  <c r="J107" i="2"/>
  <c r="L101" i="2"/>
  <c r="I107" i="2"/>
  <c r="L102" i="2"/>
  <c r="N59" i="1"/>
  <c r="E106" i="2"/>
  <c r="K106" i="2"/>
  <c r="K101" i="2"/>
  <c r="K99" i="2"/>
  <c r="J106" i="2"/>
  <c r="D106" i="2"/>
  <c r="H106" i="2"/>
  <c r="K98" i="2"/>
  <c r="K100" i="2"/>
  <c r="K102" i="2"/>
  <c r="K105" i="2"/>
  <c r="F106" i="2"/>
  <c r="I106" i="2"/>
  <c r="K104" i="2"/>
  <c r="G106" i="2"/>
  <c r="K103" i="2"/>
  <c r="C106" i="2"/>
  <c r="N58" i="1"/>
  <c r="J105" i="2"/>
  <c r="D105" i="2"/>
  <c r="J98" i="2"/>
  <c r="F105" i="2"/>
  <c r="J100" i="2"/>
  <c r="E105" i="2"/>
  <c r="J99" i="2"/>
  <c r="G105" i="2"/>
  <c r="J102" i="2"/>
  <c r="C105" i="2"/>
  <c r="H105" i="2"/>
  <c r="I105" i="2"/>
  <c r="J104" i="2"/>
  <c r="J101" i="2"/>
  <c r="J103" i="2"/>
  <c r="I98" i="2"/>
  <c r="I100" i="2"/>
  <c r="F104" i="2"/>
  <c r="I99" i="2"/>
  <c r="C104" i="2"/>
  <c r="N57" i="1"/>
  <c r="I101" i="2"/>
  <c r="I103" i="2"/>
  <c r="I104" i="2"/>
  <c r="I102" i="2"/>
  <c r="E104" i="2"/>
  <c r="D104" i="2"/>
  <c r="H104" i="2"/>
  <c r="G104" i="2"/>
  <c r="F103" i="2"/>
  <c r="H101" i="2"/>
  <c r="H98" i="2"/>
  <c r="H99" i="2"/>
  <c r="H102" i="2"/>
  <c r="C103" i="2"/>
  <c r="N56" i="1"/>
  <c r="G103" i="2"/>
  <c r="E103" i="2"/>
  <c r="D103" i="2"/>
  <c r="H103" i="2"/>
  <c r="H100" i="2"/>
  <c r="D102" i="2"/>
  <c r="G99" i="2"/>
  <c r="N55" i="1"/>
  <c r="G98" i="2"/>
  <c r="E102" i="2"/>
  <c r="F102" i="2"/>
  <c r="C102" i="2"/>
  <c r="G100" i="2"/>
  <c r="G102" i="2"/>
  <c r="G101" i="2"/>
  <c r="F101" i="2"/>
  <c r="F98" i="2"/>
  <c r="C101" i="2"/>
  <c r="D101" i="2"/>
  <c r="E101" i="2"/>
  <c r="F99" i="2"/>
  <c r="F100" i="2"/>
  <c r="D100" i="2"/>
  <c r="E98" i="2"/>
  <c r="E99" i="2"/>
  <c r="C100" i="2"/>
  <c r="E100" i="2"/>
</calcChain>
</file>

<file path=xl/comments1.xml><?xml version="1.0" encoding="utf-8"?>
<comments xmlns="http://schemas.openxmlformats.org/spreadsheetml/2006/main">
  <authors>
    <author>Neil Pearson</author>
  </authors>
  <commentList>
    <comment ref="Q36" authorId="0" shapeId="0">
      <text>
        <r>
          <rPr>
            <sz val="9"/>
            <color indexed="81"/>
            <rFont val="Tahoma"/>
            <family val="2"/>
          </rPr>
          <t>Average of implied vols of call and put</t>
        </r>
      </text>
    </comment>
  </commentList>
</comments>
</file>

<file path=xl/sharedStrings.xml><?xml version="1.0" encoding="utf-8"?>
<sst xmlns="http://schemas.openxmlformats.org/spreadsheetml/2006/main" count="106" uniqueCount="101">
  <si>
    <t>The macro is in Module1.  To use the macro, the number of interations must be in a range named "iterations"</t>
  </si>
  <si>
    <t>and the cell named "Hypothetical_Value" must contain a formula giving the mark-to-market</t>
  </si>
  <si>
    <t xml:space="preserve">the current values of the market factors and an estimate of the covariance matrix.  The places where you </t>
  </si>
  <si>
    <t>must enter data or make changes are outlined in red.</t>
  </si>
  <si>
    <t>Once you are ready, go to the "Tools" menu, then click "Macro," then "Simulation," then "Run."</t>
  </si>
  <si>
    <t>The simulated mark-to-market values of the portfolio will be placed in the worksheet "Output."  You may</t>
  </si>
  <si>
    <t>then sort these simulated values, graph them, or do whatever else you need to do in order to find the value-at-risk.</t>
  </si>
  <si>
    <t>The worksheet "Square_Root" computes the square root of the covariance matrix.  You do not need to change the "Square_Root"  sheet.</t>
  </si>
  <si>
    <t>Market Factor</t>
  </si>
  <si>
    <t>Factor 1</t>
  </si>
  <si>
    <t>Factor 2</t>
  </si>
  <si>
    <t>Factor 3</t>
  </si>
  <si>
    <t>Factor 4</t>
  </si>
  <si>
    <t>Factor 5</t>
  </si>
  <si>
    <t>Factor 6</t>
  </si>
  <si>
    <t>Factor 7</t>
  </si>
  <si>
    <t>Factor 8</t>
  </si>
  <si>
    <t>Factor 9</t>
  </si>
  <si>
    <t>Factor 10</t>
  </si>
  <si>
    <t>Iterations:</t>
  </si>
  <si>
    <t>(you can change this limit if you change the macro in the module sheet)</t>
  </si>
  <si>
    <t>Intermediate calculations that do not need to be changed.</t>
  </si>
  <si>
    <t>This section of the spreadsheet simulates the new values of the market factors,</t>
  </si>
  <si>
    <t xml:space="preserve">based on the current values and the covariance matrix. </t>
  </si>
  <si>
    <t>Independent</t>
  </si>
  <si>
    <t>Normal Rnd.</t>
  </si>
  <si>
    <t>Uniform</t>
  </si>
  <si>
    <t>Standard</t>
  </si>
  <si>
    <t>Square root of covariance matrix</t>
  </si>
  <si>
    <t>Numbers</t>
  </si>
  <si>
    <t>Random</t>
  </si>
  <si>
    <t>(this is computed in worksheet Square Root.  If you have</t>
  </si>
  <si>
    <t>(% changes in</t>
  </si>
  <si>
    <t>Factor Number</t>
  </si>
  <si>
    <t>Number u1</t>
  </si>
  <si>
    <t>Variable</t>
  </si>
  <si>
    <t xml:space="preserve"> fewer than 10 factors, only upper left part matters)</t>
  </si>
  <si>
    <t>mkt factors)</t>
  </si>
  <si>
    <t>This file uses the LDL' decomposition to compute the square root of a covariance matrix.</t>
  </si>
  <si>
    <t>See, for example, G. Strang, Linear Algebra and Its Applications, Academic Press, 1980, pages 173-174.</t>
  </si>
  <si>
    <t>The computation is done only for a 10 by 10 matrix, but it extends to matrices of any size.</t>
  </si>
  <si>
    <t>(Note:  The LDL' decomposition is not an efficient way to compute the square root of a matrix.  However,</t>
  </si>
  <si>
    <t>it can be done using spreadsheet functions, which is why I choose this method here.)</t>
  </si>
  <si>
    <t>Determinants</t>
  </si>
  <si>
    <t>of the 10</t>
  </si>
  <si>
    <t>submatrices</t>
  </si>
  <si>
    <t>The matrix D:</t>
  </si>
  <si>
    <t>The matrix D inverse:</t>
  </si>
  <si>
    <t>The matrix L:</t>
  </si>
  <si>
    <t>The matrix L transpose:</t>
  </si>
  <si>
    <t>The matrix Sigma computed using the formula Sigma = LDL' as a check:</t>
  </si>
  <si>
    <t>The square root matrix L*sqrt(D):</t>
  </si>
  <si>
    <t>The transpose of the square root matrix:</t>
  </si>
  <si>
    <t>The matrix Sigma computed using the formula Sigma = L*sqrt(D)*(L*sqrt(D))' as a check:</t>
  </si>
  <si>
    <t>Value</t>
  </si>
  <si>
    <t>Market Factors</t>
  </si>
  <si>
    <t>(If you have fewer than 10 factors, use only first few rows)</t>
  </si>
  <si>
    <t>Correlation Matrix</t>
  </si>
  <si>
    <t>If you have fewer than 10 factors, use only upper left part</t>
  </si>
  <si>
    <t>The correlation matrix</t>
  </si>
  <si>
    <t>The covariance matrix Sigma</t>
  </si>
  <si>
    <t>Volatilities transposed:</t>
  </si>
  <si>
    <t>index</t>
  </si>
  <si>
    <t>Strike</t>
  </si>
  <si>
    <t>volatility</t>
  </si>
  <si>
    <t>r</t>
  </si>
  <si>
    <t>d</t>
  </si>
  <si>
    <t>T</t>
  </si>
  <si>
    <t>t</t>
  </si>
  <si>
    <t>tau</t>
  </si>
  <si>
    <t>d1</t>
  </si>
  <si>
    <t>d2</t>
  </si>
  <si>
    <t>Portfolio:</t>
  </si>
  <si>
    <t>Initial Option Values</t>
  </si>
  <si>
    <t>After One Day</t>
  </si>
  <si>
    <t>Simulated P/L</t>
  </si>
  <si>
    <t>Computations of P/L</t>
  </si>
  <si>
    <t>Var (5%):</t>
  </si>
  <si>
    <t>E[shortfall]:</t>
  </si>
  <si>
    <t>P/L</t>
  </si>
  <si>
    <t>Sorted P/L</t>
  </si>
  <si>
    <t>The 5% VaR is the 5% quantile, and the expected shortfall is the average of the worst 250 losses</t>
  </si>
  <si>
    <t>Macro to simulate profits/losses on the options portfolio in Homework 3</t>
  </si>
  <si>
    <t>SPX call</t>
  </si>
  <si>
    <t>SPX put</t>
  </si>
  <si>
    <t>Model Price</t>
  </si>
  <si>
    <t>DJX call</t>
  </si>
  <si>
    <t>Position</t>
  </si>
  <si>
    <t>DJX put</t>
  </si>
  <si>
    <t>Volatility (per day)</t>
  </si>
  <si>
    <t>Expected Change</t>
  </si>
  <si>
    <t>SPX Call</t>
  </si>
  <si>
    <t>SPX Put</t>
  </si>
  <si>
    <t>5,000 simulated profits/losses are in column A; column B is identical to column A, but sorted</t>
  </si>
  <si>
    <t>Expressed as a profit</t>
  </si>
  <si>
    <t>Expressed as a loss</t>
  </si>
  <si>
    <t>(must be &lt;= 10000)</t>
  </si>
  <si>
    <t xml:space="preserve">P/L of the portfolio as a function of the simulated values of the market factors.  In addition, you must enter </t>
  </si>
  <si>
    <t>Your solutions will vary depending on your simulation sample.</t>
  </si>
  <si>
    <t>FIN 567C Homework 3</t>
  </si>
  <si>
    <t>FIN 567C Homework 3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</si>
</sst>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%"/>
    <numFmt numFmtId="166" formatCode="0.000"/>
    <numFmt numFmtId="167" formatCode="0.000000"/>
  </numFmts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sz val="10"/>
      <color theme="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0"/>
      <name val="Arial"/>
      <family val="2"/>
    </font>
    <font>
      <sz val="9"/>
      <color indexed="81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0">
    <xf numFmtId="0" fontId="0" fillId="0" borderId="0"/>
    <xf numFmtId="9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Border="1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right"/>
    </xf>
    <xf numFmtId="165" fontId="0" fillId="0" borderId="0" xfId="0" applyNumberFormat="1"/>
    <xf numFmtId="0" fontId="0" fillId="0" borderId="3" xfId="0" applyBorder="1" applyAlignment="1">
      <alignment horizontal="right"/>
    </xf>
    <xf numFmtId="0" fontId="0" fillId="0" borderId="3" xfId="0" applyBorder="1"/>
    <xf numFmtId="166" fontId="0" fillId="0" borderId="0" xfId="0" applyNumberForma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vertical="center"/>
    </xf>
    <xf numFmtId="164" fontId="5" fillId="0" borderId="0" xfId="0" applyNumberFormat="1" applyFont="1"/>
    <xf numFmtId="166" fontId="5" fillId="0" borderId="0" xfId="0" applyNumberFormat="1" applyFont="1"/>
    <xf numFmtId="165" fontId="5" fillId="0" borderId="0" xfId="0" applyNumberFormat="1" applyFont="1"/>
    <xf numFmtId="2" fontId="0" fillId="0" borderId="0" xfId="0" applyNumberFormat="1"/>
    <xf numFmtId="0" fontId="6" fillId="0" borderId="0" xfId="0" applyFont="1"/>
    <xf numFmtId="4" fontId="0" fillId="0" borderId="0" xfId="0" applyNumberFormat="1"/>
    <xf numFmtId="0" fontId="2" fillId="0" borderId="0" xfId="0" applyFont="1"/>
    <xf numFmtId="0" fontId="5" fillId="0" borderId="0" xfId="0" applyFont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0" fontId="4" fillId="0" borderId="0" xfId="0" applyFont="1"/>
    <xf numFmtId="3" fontId="6" fillId="0" borderId="0" xfId="0" applyNumberFormat="1" applyFont="1"/>
    <xf numFmtId="3" fontId="4" fillId="0" borderId="0" xfId="0" applyNumberFormat="1" applyFont="1"/>
    <xf numFmtId="0" fontId="7" fillId="0" borderId="0" xfId="0" applyFont="1"/>
    <xf numFmtId="4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64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right"/>
    </xf>
    <xf numFmtId="167" fontId="7" fillId="0" borderId="0" xfId="0" applyNumberFormat="1" applyFont="1" applyAlignment="1">
      <alignment horizontal="right"/>
    </xf>
    <xf numFmtId="2" fontId="7" fillId="0" borderId="0" xfId="0" applyNumberFormat="1" applyFont="1"/>
    <xf numFmtId="3" fontId="7" fillId="0" borderId="0" xfId="0" applyNumberFormat="1" applyFont="1"/>
    <xf numFmtId="0" fontId="7" fillId="0" borderId="3" xfId="0" applyFont="1" applyBorder="1"/>
    <xf numFmtId="3" fontId="7" fillId="0" borderId="3" xfId="0" applyNumberFormat="1" applyFont="1" applyBorder="1"/>
    <xf numFmtId="0" fontId="7" fillId="0" borderId="3" xfId="0" applyFont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3" fontId="7" fillId="0" borderId="0" xfId="0" applyNumberFormat="1" applyFont="1" applyBorder="1"/>
    <xf numFmtId="3" fontId="6" fillId="0" borderId="0" xfId="0" applyNumberFormat="1" applyFont="1" applyBorder="1"/>
    <xf numFmtId="4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164" fontId="3" fillId="0" borderId="0" xfId="0" applyNumberFormat="1" applyFont="1" applyBorder="1"/>
    <xf numFmtId="0" fontId="3" fillId="0" borderId="10" xfId="0" applyFont="1" applyBorder="1"/>
    <xf numFmtId="0" fontId="3" fillId="0" borderId="4" xfId="0" applyFont="1" applyBorder="1"/>
    <xf numFmtId="0" fontId="8" fillId="0" borderId="4" xfId="0" applyFont="1" applyBorder="1"/>
    <xf numFmtId="0" fontId="8" fillId="0" borderId="5" xfId="0" applyFont="1" applyBorder="1"/>
    <xf numFmtId="0" fontId="3" fillId="0" borderId="6" xfId="0" applyFont="1" applyBorder="1"/>
    <xf numFmtId="0" fontId="3" fillId="0" borderId="0" xfId="0" applyFont="1" applyBorder="1"/>
    <xf numFmtId="0" fontId="8" fillId="0" borderId="0" xfId="0" applyFont="1" applyBorder="1"/>
    <xf numFmtId="0" fontId="8" fillId="0" borderId="7" xfId="0" applyFont="1" applyBorder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3" xfId="0" applyFont="1" applyBorder="1"/>
    <xf numFmtId="0" fontId="8" fillId="0" borderId="9" xfId="0" applyFont="1" applyBorder="1"/>
    <xf numFmtId="0" fontId="9" fillId="0" borderId="11" xfId="0" applyFont="1" applyBorder="1"/>
    <xf numFmtId="0" fontId="10" fillId="0" borderId="3" xfId="0" applyFont="1" applyBorder="1" applyAlignment="1">
      <alignment horizontal="center" wrapText="1"/>
    </xf>
    <xf numFmtId="0" fontId="4" fillId="0" borderId="12" xfId="0" applyFont="1" applyBorder="1" applyAlignment="1">
      <alignment horizontal="center"/>
    </xf>
    <xf numFmtId="4" fontId="4" fillId="0" borderId="13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right" vertical="center" wrapText="1"/>
    </xf>
    <xf numFmtId="165" fontId="0" fillId="0" borderId="0" xfId="1" applyNumberFormat="1" applyFont="1"/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</cellXfs>
  <cellStyles count="2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0"/>
  <sheetViews>
    <sheetView workbookViewId="0">
      <selection activeCell="N11" sqref="N11"/>
    </sheetView>
  </sheetViews>
  <sheetFormatPr defaultColWidth="8.85546875" defaultRowHeight="12.75" x14ac:dyDescent="0.2"/>
  <cols>
    <col min="1" max="1" width="15.7109375" customWidth="1"/>
    <col min="2" max="2" width="21.28515625" customWidth="1"/>
    <col min="3" max="3" width="11" customWidth="1"/>
    <col min="4" max="4" width="9" customWidth="1"/>
    <col min="5" max="5" width="6.42578125" customWidth="1"/>
    <col min="6" max="13" width="5.42578125" customWidth="1"/>
    <col min="14" max="14" width="9.85546875" customWidth="1"/>
    <col min="15" max="15" width="5.42578125" customWidth="1"/>
    <col min="16" max="16" width="12.7109375" customWidth="1"/>
    <col min="17" max="17" width="8.7109375" customWidth="1"/>
    <col min="18" max="19" width="10.140625" customWidth="1"/>
    <col min="20" max="21" width="11" customWidth="1"/>
    <col min="22" max="22" width="4" customWidth="1"/>
    <col min="23" max="24" width="10.85546875" customWidth="1"/>
    <col min="25" max="25" width="9.7109375" customWidth="1"/>
    <col min="26" max="26" width="9.42578125" customWidth="1"/>
    <col min="27" max="29" width="8.7109375" customWidth="1"/>
  </cols>
  <sheetData>
    <row r="1" spans="1:15" ht="15" x14ac:dyDescent="0.25">
      <c r="A1" s="29" t="s">
        <v>100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5" ht="15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ht="15" x14ac:dyDescent="0.25">
      <c r="A3" s="29" t="s">
        <v>82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ht="15" x14ac:dyDescent="0.25">
      <c r="A4" s="29" t="s">
        <v>0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5" spans="1:15" ht="15" x14ac:dyDescent="0.25">
      <c r="A5" s="29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</row>
    <row r="6" spans="1:15" ht="15" x14ac:dyDescent="0.25">
      <c r="A6" s="29" t="s">
        <v>97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</row>
    <row r="7" spans="1:15" ht="15" x14ac:dyDescent="0.25">
      <c r="A7" s="29" t="s">
        <v>2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ht="15" x14ac:dyDescent="0.25">
      <c r="A8" s="29" t="s">
        <v>3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ht="15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ht="15" x14ac:dyDescent="0.25">
      <c r="A10" s="29" t="s">
        <v>4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ht="15" x14ac:dyDescent="0.25">
      <c r="A11" s="29" t="s">
        <v>5</v>
      </c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ht="15" x14ac:dyDescent="0.25">
      <c r="A12" s="29" t="s">
        <v>6</v>
      </c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ht="15" x14ac:dyDescent="0.25">
      <c r="A13" s="29" t="s">
        <v>7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</row>
    <row r="14" spans="1:15" ht="15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5" ht="15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5" ht="15" x14ac:dyDescent="0.25">
      <c r="A16" s="29"/>
      <c r="B16" s="29" t="s">
        <v>56</v>
      </c>
      <c r="C16" s="29"/>
      <c r="D16" s="31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</row>
    <row r="17" spans="1:26" ht="15" x14ac:dyDescent="0.25">
      <c r="A17" s="29"/>
      <c r="B17" s="29"/>
      <c r="C17" s="29"/>
      <c r="D17" s="31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26" ht="15" x14ac:dyDescent="0.25">
      <c r="A18" s="29"/>
      <c r="B18" s="29" t="s">
        <v>55</v>
      </c>
      <c r="C18" s="29"/>
      <c r="D18" s="29"/>
      <c r="E18" s="29"/>
      <c r="F18" s="29" t="s">
        <v>58</v>
      </c>
      <c r="G18" s="29"/>
      <c r="H18" s="29"/>
      <c r="I18" s="29"/>
      <c r="J18" s="29"/>
      <c r="K18" s="29"/>
      <c r="L18" s="29"/>
      <c r="M18" s="29"/>
      <c r="N18" s="29"/>
      <c r="O18" s="29"/>
      <c r="P18" s="14"/>
      <c r="Q18" s="14"/>
      <c r="R18" s="14"/>
      <c r="S18" s="14"/>
      <c r="T18" s="15"/>
      <c r="U18" s="15"/>
      <c r="V18" s="15"/>
    </row>
    <row r="19" spans="1:26" ht="31.5" customHeight="1" x14ac:dyDescent="0.25">
      <c r="A19" s="29" t="s">
        <v>8</v>
      </c>
      <c r="B19" s="37" t="s">
        <v>54</v>
      </c>
      <c r="C19" s="39" t="s">
        <v>90</v>
      </c>
      <c r="D19" s="40" t="s">
        <v>89</v>
      </c>
      <c r="E19" s="29"/>
      <c r="F19" s="29" t="s">
        <v>57</v>
      </c>
      <c r="G19" s="29"/>
      <c r="H19" s="29"/>
      <c r="I19" s="29"/>
      <c r="J19" s="29"/>
      <c r="K19" s="29"/>
      <c r="L19" s="29"/>
      <c r="M19" s="29"/>
      <c r="N19" s="29"/>
      <c r="O19" s="29"/>
      <c r="R19" s="67"/>
    </row>
    <row r="20" spans="1:26" ht="15" x14ac:dyDescent="0.25">
      <c r="A20" s="29" t="s">
        <v>9</v>
      </c>
      <c r="B20" s="46">
        <v>1864.780029</v>
      </c>
      <c r="C20" s="47">
        <v>0</v>
      </c>
      <c r="D20" s="48">
        <v>1.3201109158755072E-2</v>
      </c>
      <c r="E20" s="29"/>
      <c r="F20" s="49">
        <v>1</v>
      </c>
      <c r="G20" s="50">
        <v>0.97105387988843805</v>
      </c>
      <c r="H20" s="50">
        <v>-0.92029980930484512</v>
      </c>
      <c r="I20" s="50">
        <v>-0.91905472582591907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2">
        <v>0</v>
      </c>
    </row>
    <row r="21" spans="1:26" ht="15" x14ac:dyDescent="0.25">
      <c r="A21" s="29" t="s">
        <v>10</v>
      </c>
      <c r="B21" s="46">
        <v>15973.84</v>
      </c>
      <c r="C21" s="47">
        <v>0</v>
      </c>
      <c r="D21" s="48">
        <v>1.3235085741177219E-2</v>
      </c>
      <c r="E21" s="29"/>
      <c r="F21" s="53">
        <v>0.97105387988843805</v>
      </c>
      <c r="G21" s="54">
        <v>0.99999999999999989</v>
      </c>
      <c r="H21" s="54">
        <v>-0.8799014047448267</v>
      </c>
      <c r="I21" s="54">
        <v>-0.89740773728224432</v>
      </c>
      <c r="J21" s="55">
        <v>0</v>
      </c>
      <c r="K21" s="55">
        <v>0</v>
      </c>
      <c r="L21" s="55">
        <v>0</v>
      </c>
      <c r="M21" s="55">
        <v>0</v>
      </c>
      <c r="N21" s="55">
        <v>0</v>
      </c>
      <c r="O21" s="56">
        <v>0</v>
      </c>
    </row>
    <row r="22" spans="1:26" ht="15" x14ac:dyDescent="0.25">
      <c r="A22" s="29" t="s">
        <v>11</v>
      </c>
      <c r="B22" s="46">
        <v>25.4</v>
      </c>
      <c r="C22" s="47">
        <v>0</v>
      </c>
      <c r="D22" s="48">
        <v>8.1041923461087989E-2</v>
      </c>
      <c r="E22" s="29"/>
      <c r="F22" s="53">
        <v>-0.92029980930484512</v>
      </c>
      <c r="G22" s="54">
        <v>-0.8799014047448267</v>
      </c>
      <c r="H22" s="54">
        <v>1</v>
      </c>
      <c r="I22" s="54">
        <v>0.97807627865488223</v>
      </c>
      <c r="J22" s="55">
        <v>0</v>
      </c>
      <c r="K22" s="55">
        <v>0</v>
      </c>
      <c r="L22" s="55">
        <v>0</v>
      </c>
      <c r="M22" s="55">
        <v>0</v>
      </c>
      <c r="N22" s="55">
        <v>0</v>
      </c>
      <c r="O22" s="56">
        <v>0</v>
      </c>
    </row>
    <row r="23" spans="1:26" ht="15" x14ac:dyDescent="0.25">
      <c r="A23" s="29" t="s">
        <v>12</v>
      </c>
      <c r="B23" s="46">
        <v>24.58</v>
      </c>
      <c r="C23" s="47">
        <v>0</v>
      </c>
      <c r="D23" s="48">
        <v>7.4651090783569712E-2</v>
      </c>
      <c r="E23" s="29"/>
      <c r="F23" s="53">
        <v>-0.91905472582591907</v>
      </c>
      <c r="G23" s="54">
        <v>-0.89740773728224432</v>
      </c>
      <c r="H23" s="54">
        <v>0.97807627865488223</v>
      </c>
      <c r="I23" s="54">
        <v>0.99999999999999989</v>
      </c>
      <c r="J23" s="55">
        <v>0</v>
      </c>
      <c r="K23" s="55">
        <v>0</v>
      </c>
      <c r="L23" s="55">
        <v>0</v>
      </c>
      <c r="M23" s="55">
        <v>0</v>
      </c>
      <c r="N23" s="55">
        <v>0</v>
      </c>
      <c r="O23" s="56">
        <v>0</v>
      </c>
    </row>
    <row r="24" spans="1:26" ht="15" x14ac:dyDescent="0.25">
      <c r="A24" s="29" t="s">
        <v>13</v>
      </c>
      <c r="B24" s="55">
        <v>100</v>
      </c>
      <c r="C24" s="57">
        <v>0</v>
      </c>
      <c r="D24" s="58">
        <v>1E-4</v>
      </c>
      <c r="E24" s="29"/>
      <c r="F24" s="59">
        <v>0</v>
      </c>
      <c r="G24" s="55">
        <v>0</v>
      </c>
      <c r="H24" s="55">
        <v>0</v>
      </c>
      <c r="I24" s="55">
        <v>0</v>
      </c>
      <c r="J24" s="55">
        <v>1</v>
      </c>
      <c r="K24" s="55">
        <v>0</v>
      </c>
      <c r="L24" s="55">
        <v>0</v>
      </c>
      <c r="M24" s="55">
        <v>0</v>
      </c>
      <c r="N24" s="55">
        <v>0</v>
      </c>
      <c r="O24" s="56">
        <v>0</v>
      </c>
    </row>
    <row r="25" spans="1:26" ht="15" x14ac:dyDescent="0.25">
      <c r="A25" s="29" t="s">
        <v>14</v>
      </c>
      <c r="B25" s="55">
        <v>100</v>
      </c>
      <c r="C25" s="57">
        <v>0</v>
      </c>
      <c r="D25" s="58">
        <v>1E-4</v>
      </c>
      <c r="E25" s="29"/>
      <c r="F25" s="59">
        <v>0</v>
      </c>
      <c r="G25" s="55">
        <v>0</v>
      </c>
      <c r="H25" s="55">
        <v>0</v>
      </c>
      <c r="I25" s="55">
        <v>0</v>
      </c>
      <c r="J25" s="55">
        <v>0</v>
      </c>
      <c r="K25" s="55">
        <v>1</v>
      </c>
      <c r="L25" s="55">
        <v>0</v>
      </c>
      <c r="M25" s="55">
        <v>0</v>
      </c>
      <c r="N25" s="55">
        <v>0</v>
      </c>
      <c r="O25" s="56">
        <v>0</v>
      </c>
    </row>
    <row r="26" spans="1:26" ht="15" x14ac:dyDescent="0.25">
      <c r="A26" s="29" t="s">
        <v>15</v>
      </c>
      <c r="B26" s="55">
        <v>100</v>
      </c>
      <c r="C26" s="57">
        <v>0</v>
      </c>
      <c r="D26" s="58">
        <v>1E-4</v>
      </c>
      <c r="E26" s="29"/>
      <c r="F26" s="59">
        <v>0</v>
      </c>
      <c r="G26" s="55">
        <v>0</v>
      </c>
      <c r="H26" s="55">
        <v>0</v>
      </c>
      <c r="I26" s="55">
        <v>0</v>
      </c>
      <c r="J26" s="55">
        <v>0</v>
      </c>
      <c r="K26" s="55">
        <v>0</v>
      </c>
      <c r="L26" s="55">
        <v>1</v>
      </c>
      <c r="M26" s="55">
        <v>0</v>
      </c>
      <c r="N26" s="55">
        <v>0</v>
      </c>
      <c r="O26" s="56">
        <v>0</v>
      </c>
    </row>
    <row r="27" spans="1:26" ht="15" x14ac:dyDescent="0.25">
      <c r="A27" s="29" t="s">
        <v>16</v>
      </c>
      <c r="B27" s="55">
        <v>100</v>
      </c>
      <c r="C27" s="57">
        <v>0</v>
      </c>
      <c r="D27" s="58">
        <v>1E-4</v>
      </c>
      <c r="E27" s="29"/>
      <c r="F27" s="59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55">
        <v>0</v>
      </c>
      <c r="M27" s="55">
        <v>1</v>
      </c>
      <c r="N27" s="55">
        <v>0</v>
      </c>
      <c r="O27" s="56">
        <v>0</v>
      </c>
    </row>
    <row r="28" spans="1:26" ht="15" x14ac:dyDescent="0.25">
      <c r="A28" s="29" t="s">
        <v>17</v>
      </c>
      <c r="B28" s="55">
        <v>100</v>
      </c>
      <c r="C28" s="57">
        <v>0</v>
      </c>
      <c r="D28" s="58">
        <v>1E-4</v>
      </c>
      <c r="E28" s="29"/>
      <c r="F28" s="59">
        <v>0</v>
      </c>
      <c r="G28" s="55">
        <v>0</v>
      </c>
      <c r="H28" s="55">
        <v>0</v>
      </c>
      <c r="I28" s="55">
        <v>0</v>
      </c>
      <c r="J28" s="55">
        <v>0</v>
      </c>
      <c r="K28" s="55">
        <v>0</v>
      </c>
      <c r="L28" s="55">
        <v>0</v>
      </c>
      <c r="M28" s="55">
        <v>0</v>
      </c>
      <c r="N28" s="55">
        <v>1</v>
      </c>
      <c r="O28" s="56">
        <v>0</v>
      </c>
    </row>
    <row r="29" spans="1:26" ht="15" x14ac:dyDescent="0.25">
      <c r="A29" s="29" t="s">
        <v>18</v>
      </c>
      <c r="B29" s="55">
        <v>100</v>
      </c>
      <c r="C29" s="57">
        <v>0</v>
      </c>
      <c r="D29" s="58">
        <v>1E-4</v>
      </c>
      <c r="E29" s="29"/>
      <c r="F29" s="60">
        <v>0</v>
      </c>
      <c r="G29" s="61">
        <v>0</v>
      </c>
      <c r="H29" s="61">
        <v>0</v>
      </c>
      <c r="I29" s="61">
        <v>0</v>
      </c>
      <c r="J29" s="61">
        <v>0</v>
      </c>
      <c r="K29" s="61">
        <v>0</v>
      </c>
      <c r="L29" s="61">
        <v>0</v>
      </c>
      <c r="M29" s="61">
        <v>0</v>
      </c>
      <c r="N29" s="61">
        <v>0</v>
      </c>
      <c r="O29" s="62">
        <v>1</v>
      </c>
    </row>
    <row r="30" spans="1:26" ht="15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26" ht="15" x14ac:dyDescent="0.25">
      <c r="A31" s="29" t="s">
        <v>19</v>
      </c>
      <c r="B31" s="63">
        <v>5000</v>
      </c>
      <c r="C31" s="55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Q31" s="70" t="s">
        <v>76</v>
      </c>
      <c r="R31" s="70"/>
      <c r="S31" s="70"/>
      <c r="T31" s="70"/>
      <c r="U31" s="70"/>
      <c r="V31" s="70"/>
      <c r="W31" s="70"/>
      <c r="X31" s="70"/>
      <c r="Y31" s="70"/>
      <c r="Z31" s="70"/>
    </row>
    <row r="32" spans="1:26" ht="15" x14ac:dyDescent="0.25">
      <c r="A32" s="29" t="s">
        <v>96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Q32" s="29"/>
      <c r="R32" s="69" t="s">
        <v>73</v>
      </c>
      <c r="S32" s="69"/>
      <c r="T32" s="69"/>
      <c r="U32" s="69"/>
      <c r="V32" s="41"/>
      <c r="W32" s="70" t="s">
        <v>74</v>
      </c>
      <c r="X32" s="70"/>
      <c r="Y32" s="70"/>
      <c r="Z32" s="70"/>
    </row>
    <row r="33" spans="1:26" ht="15" x14ac:dyDescent="0.25">
      <c r="A33" s="29" t="s">
        <v>20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Q33" s="37"/>
      <c r="R33" s="37" t="s">
        <v>83</v>
      </c>
      <c r="S33" s="42" t="s">
        <v>84</v>
      </c>
      <c r="T33" s="42" t="s">
        <v>86</v>
      </c>
      <c r="U33" s="42" t="s">
        <v>88</v>
      </c>
      <c r="V33" s="42"/>
      <c r="W33" s="42" t="s">
        <v>91</v>
      </c>
      <c r="X33" s="42" t="s">
        <v>92</v>
      </c>
      <c r="Y33" s="42" t="s">
        <v>86</v>
      </c>
      <c r="Z33" s="43" t="s">
        <v>88</v>
      </c>
    </row>
    <row r="34" spans="1:26" ht="15" x14ac:dyDescent="0.25">
      <c r="F34" s="5"/>
      <c r="G34" s="5"/>
      <c r="H34" s="5"/>
      <c r="I34" s="5"/>
      <c r="J34" s="5"/>
      <c r="K34" s="5"/>
      <c r="L34" s="5"/>
      <c r="M34" s="5"/>
      <c r="N34" s="5"/>
      <c r="O34" s="5"/>
      <c r="Q34" s="29" t="s">
        <v>62</v>
      </c>
      <c r="R34" s="30">
        <v>1864.780029</v>
      </c>
      <c r="S34" s="30">
        <f>R34</f>
        <v>1864.780029</v>
      </c>
      <c r="T34" s="30">
        <f>15973.84/100</f>
        <v>159.73840000000001</v>
      </c>
      <c r="U34" s="30">
        <f>T34</f>
        <v>159.73840000000001</v>
      </c>
      <c r="V34" s="30"/>
      <c r="W34" s="30">
        <f ca="1">R34*EXP(N51)</f>
        <v>1888.9567118094658</v>
      </c>
      <c r="X34" s="30">
        <f ca="1">R34*EXP(N51)</f>
        <v>1888.9567118094658</v>
      </c>
      <c r="Y34" s="30">
        <f ca="1">T34*EXP(N52)</f>
        <v>161.57461807850697</v>
      </c>
      <c r="Z34" s="30">
        <f ca="1">U34*EXP(N52)</f>
        <v>161.57461807850697</v>
      </c>
    </row>
    <row r="35" spans="1:26" ht="15" x14ac:dyDescent="0.25">
      <c r="F35" s="5"/>
      <c r="G35" s="5"/>
      <c r="H35" s="5"/>
      <c r="I35" s="5"/>
      <c r="J35" s="5"/>
      <c r="K35" s="5"/>
      <c r="L35" s="5"/>
      <c r="M35" s="5"/>
      <c r="N35" s="5"/>
      <c r="O35" s="5"/>
      <c r="Q35" s="29" t="s">
        <v>63</v>
      </c>
      <c r="R35" s="31">
        <v>1865</v>
      </c>
      <c r="S35" s="31">
        <v>1865</v>
      </c>
      <c r="T35" s="31">
        <v>160</v>
      </c>
      <c r="U35" s="31">
        <v>160</v>
      </c>
      <c r="V35" s="31"/>
      <c r="W35" s="31">
        <f>R35</f>
        <v>1865</v>
      </c>
      <c r="X35" s="31">
        <f t="shared" ref="X35:Z35" si="0">S35</f>
        <v>1865</v>
      </c>
      <c r="Y35" s="31">
        <f t="shared" si="0"/>
        <v>160</v>
      </c>
      <c r="Z35" s="31">
        <f t="shared" si="0"/>
        <v>160</v>
      </c>
    </row>
    <row r="36" spans="1:26" ht="15" x14ac:dyDescent="0.25">
      <c r="Q36" s="29" t="s">
        <v>64</v>
      </c>
      <c r="R36" s="32">
        <v>0.22941156116415717</v>
      </c>
      <c r="S36" s="32">
        <v>0.22941156116415717</v>
      </c>
      <c r="T36" s="32">
        <v>0.22151932778922273</v>
      </c>
      <c r="U36" s="32">
        <v>0.22151932778922273</v>
      </c>
      <c r="V36" s="32"/>
      <c r="W36" s="32">
        <f ca="1">R36*EXP(N53)</f>
        <v>0.22004640213410126</v>
      </c>
      <c r="X36" s="32">
        <f ca="1">S36*EXP(N53)</f>
        <v>0.22004640213410126</v>
      </c>
      <c r="Y36" s="32">
        <f ca="1">T36*EXP(N54)</f>
        <v>0.21311171654740763</v>
      </c>
      <c r="Z36" s="32">
        <f ca="1">U36*EXP(N54)</f>
        <v>0.21311171654740763</v>
      </c>
    </row>
    <row r="37" spans="1:26" ht="15" x14ac:dyDescent="0.25">
      <c r="B37" s="1"/>
      <c r="C37" s="1"/>
      <c r="D37" s="23"/>
      <c r="Q37" s="29" t="s">
        <v>65</v>
      </c>
      <c r="R37" s="31">
        <v>2.5000000000000001E-3</v>
      </c>
      <c r="S37" s="31">
        <f>R37</f>
        <v>2.5000000000000001E-3</v>
      </c>
      <c r="T37" s="31">
        <v>2.5000000000000001E-3</v>
      </c>
      <c r="U37" s="31">
        <f>T37</f>
        <v>2.5000000000000001E-3</v>
      </c>
      <c r="V37" s="31"/>
      <c r="W37" s="31">
        <f>R37</f>
        <v>2.5000000000000001E-3</v>
      </c>
      <c r="X37" s="31">
        <f t="shared" ref="X37:X39" si="1">S37</f>
        <v>2.5000000000000001E-3</v>
      </c>
      <c r="Y37" s="31">
        <f t="shared" ref="Y37:Y39" si="2">T37</f>
        <v>2.5000000000000001E-3</v>
      </c>
      <c r="Z37" s="31">
        <f t="shared" ref="Z37:Z39" si="3">U37</f>
        <v>2.5000000000000001E-3</v>
      </c>
    </row>
    <row r="38" spans="1:26" ht="15" x14ac:dyDescent="0.25">
      <c r="B38" s="65" t="s">
        <v>75</v>
      </c>
      <c r="C38" s="1"/>
      <c r="Q38" s="29" t="s">
        <v>66</v>
      </c>
      <c r="R38" s="31">
        <v>2.2200000000000001E-2</v>
      </c>
      <c r="S38" s="31">
        <f>R38</f>
        <v>2.2200000000000001E-2</v>
      </c>
      <c r="T38" s="31">
        <v>2.4799999999999999E-2</v>
      </c>
      <c r="U38" s="31">
        <f>T38</f>
        <v>2.4799999999999999E-2</v>
      </c>
      <c r="V38" s="31"/>
      <c r="W38" s="31">
        <f t="shared" ref="W38" si="4">R38</f>
        <v>2.2200000000000001E-2</v>
      </c>
      <c r="X38" s="31">
        <f t="shared" si="1"/>
        <v>2.2200000000000001E-2</v>
      </c>
      <c r="Y38" s="31">
        <f t="shared" si="2"/>
        <v>2.4799999999999999E-2</v>
      </c>
      <c r="Z38" s="31">
        <f t="shared" si="3"/>
        <v>2.4799999999999999E-2</v>
      </c>
    </row>
    <row r="39" spans="1:26" ht="15" x14ac:dyDescent="0.25">
      <c r="B39" s="66">
        <f ca="1">W47-R47</f>
        <v>569.36333040788304</v>
      </c>
      <c r="K39" s="19"/>
      <c r="Q39" s="29" t="s">
        <v>67</v>
      </c>
      <c r="R39" s="33">
        <v>42447</v>
      </c>
      <c r="S39" s="33">
        <v>42447</v>
      </c>
      <c r="T39" s="33">
        <v>42447</v>
      </c>
      <c r="U39" s="33">
        <v>42447</v>
      </c>
      <c r="V39" s="33"/>
      <c r="W39" s="33">
        <f>R39</f>
        <v>42447</v>
      </c>
      <c r="X39" s="33">
        <f t="shared" si="1"/>
        <v>42447</v>
      </c>
      <c r="Y39" s="33">
        <f t="shared" si="2"/>
        <v>42447</v>
      </c>
      <c r="Z39" s="33">
        <f t="shared" si="3"/>
        <v>42447</v>
      </c>
    </row>
    <row r="40" spans="1:26" ht="15" x14ac:dyDescent="0.25">
      <c r="K40" s="21"/>
      <c r="Q40" s="29" t="s">
        <v>68</v>
      </c>
      <c r="R40" s="33">
        <v>42412</v>
      </c>
      <c r="S40" s="33">
        <v>42412</v>
      </c>
      <c r="T40" s="33">
        <v>42412</v>
      </c>
      <c r="U40" s="33">
        <v>42412</v>
      </c>
      <c r="V40" s="33"/>
      <c r="W40" s="33">
        <f>R40+3</f>
        <v>42415</v>
      </c>
      <c r="X40" s="33">
        <f t="shared" ref="X40:Z40" si="5">S40+3</f>
        <v>42415</v>
      </c>
      <c r="Y40" s="33">
        <f t="shared" si="5"/>
        <v>42415</v>
      </c>
      <c r="Z40" s="33">
        <f t="shared" si="5"/>
        <v>42415</v>
      </c>
    </row>
    <row r="41" spans="1:26" ht="15" x14ac:dyDescent="0.25">
      <c r="Q41" s="29" t="s">
        <v>69</v>
      </c>
      <c r="R41" s="32">
        <f>(R39-R40)/365</f>
        <v>9.5890410958904104E-2</v>
      </c>
      <c r="S41" s="32">
        <f>(S39-S40)/365</f>
        <v>9.5890410958904104E-2</v>
      </c>
      <c r="T41" s="32">
        <f>(T39-T40)/365</f>
        <v>9.5890410958904104E-2</v>
      </c>
      <c r="U41" s="32">
        <f>(U39-U40)/365</f>
        <v>9.5890410958904104E-2</v>
      </c>
      <c r="V41" s="32"/>
      <c r="W41" s="32">
        <f>(W39-W40)/365</f>
        <v>8.7671232876712329E-2</v>
      </c>
      <c r="X41" s="32">
        <f t="shared" ref="X41:Z41" si="6">(X39-X40)/365</f>
        <v>8.7671232876712329E-2</v>
      </c>
      <c r="Y41" s="32">
        <f t="shared" si="6"/>
        <v>8.7671232876712329E-2</v>
      </c>
      <c r="Z41" s="32">
        <f t="shared" si="6"/>
        <v>8.7671232876712329E-2</v>
      </c>
    </row>
    <row r="42" spans="1:26" ht="15" x14ac:dyDescent="0.25">
      <c r="Q42" s="29" t="s">
        <v>70</v>
      </c>
      <c r="R42" s="34">
        <f>(LN(R34/R35)+(R37-R38+R36^2/2)*R41)/(R36*SQRT(R41))</f>
        <v>7.2683724522576007E-3</v>
      </c>
      <c r="S42" s="34">
        <f>(LN(S34/S35)+(S37-S38+S36^2/2)*S41)/(S36*SQRT(S41))</f>
        <v>7.2683724522576007E-3</v>
      </c>
      <c r="T42" s="34">
        <f>(LN(T34/T35)+(T37-T38+T36^2/2)*T41)/(T36*SQRT(T41))</f>
        <v>-2.0729818907478541E-2</v>
      </c>
      <c r="U42" s="34">
        <f>(LN(U34/U35)+(U37-U38+U36^2/2)*U41)/(U36*SQRT(U41))</f>
        <v>-2.0729818907478541E-2</v>
      </c>
      <c r="V42" s="34"/>
      <c r="W42" s="34">
        <f ca="1">(LN(W34/W35)+(W37-W38+W36^2/2)*W41)/(W36*SQRT(W41))</f>
        <v>0.20196736925450073</v>
      </c>
      <c r="X42" s="34">
        <f ca="1">(LN(X34/X35)+(X37-X38+X36^2/2)*X41)/(X36*SQRT(X41))</f>
        <v>0.20196736925450073</v>
      </c>
      <c r="Y42" s="34">
        <f ca="1">(LN(Y34/Y35)+(Y37-Y38+Y36^2/2)*Y41)/(Y36*SQRT(Y41))</f>
        <v>0.15576704956265622</v>
      </c>
      <c r="Z42" s="34">
        <f ca="1">(LN(Z34/Z35)+(Z37-Z38+Z36^2/2)*Z41)/(Z36*SQRT(Z41))</f>
        <v>0.15576704956265622</v>
      </c>
    </row>
    <row r="43" spans="1:26" ht="15" x14ac:dyDescent="0.25">
      <c r="Q43" s="29" t="s">
        <v>71</v>
      </c>
      <c r="R43" s="34">
        <f>(LN(R34/R35)+(R37-R38-R36^2/2)*R41)/(R36*SQRT(R41))</f>
        <v>-6.3771617324910504E-2</v>
      </c>
      <c r="S43" s="34">
        <f>(LN(S34/S35)+(S37-S38-S36^2/2)*S41)/(S36*SQRT(S41))</f>
        <v>-6.3771617324910504E-2</v>
      </c>
      <c r="T43" s="34">
        <f>(LN(T34/T35)+(T37-T38-T36^2/2)*T41)/(T36*SQRT(T41))</f>
        <v>-8.9325885739223759E-2</v>
      </c>
      <c r="U43" s="34">
        <f>(LN(U34/U35)+(U37-U38-U36^2/2)*U41)/(U36*SQRT(U41))</f>
        <v>-8.9325885739223759E-2</v>
      </c>
      <c r="V43" s="34"/>
      <c r="W43" s="34">
        <f ca="1">(LN(W34/W35)+(W37-W38-W36^2/2)*W41)/(W36*SQRT(W41))</f>
        <v>0.13681310739683716</v>
      </c>
      <c r="X43" s="34">
        <f ca="1">(LN(X34/X35)+(X37-X38-X36^2/2)*X41)/(X36*SQRT(X41))</f>
        <v>0.13681310739683716</v>
      </c>
      <c r="Y43" s="34">
        <f ca="1">(LN(Y34/Y35)+(Y37-Y38-Y36^2/2)*Y41)/(Y36*SQRT(Y41))</f>
        <v>9.2666101534412362E-2</v>
      </c>
      <c r="Z43" s="34">
        <f ca="1">(LN(Z34/Z35)+(Z37-Z38-Z36^2/2)*Z41)/(Z36*SQRT(Z41))</f>
        <v>9.2666101534412362E-2</v>
      </c>
    </row>
    <row r="44" spans="1:26" ht="15" x14ac:dyDescent="0.25">
      <c r="A44" s="6" t="s">
        <v>21</v>
      </c>
      <c r="Q44" s="29" t="s">
        <v>85</v>
      </c>
      <c r="R44" s="35">
        <f>R34*EXP(-R38*R41)*NORMSDIST(R42)-EXP(-R37*R41)*R35*NORMSDIST(R43)</f>
        <v>50.930807768193631</v>
      </c>
      <c r="S44" s="35">
        <f>-S34*EXP(-S38*S41)*NORMSDIST(-S42)+EXP(-S37*S41)*S35*NORMSDIST(-S43)</f>
        <v>54.669203462050405</v>
      </c>
      <c r="T44" s="35">
        <f>T34*EXP(-T38*T41)*NORMSDIST(T42)-EXP(-T37*T41)*T35*NORMSDIST(T43)</f>
        <v>4.0736626718738904</v>
      </c>
      <c r="U44" s="35">
        <f>-U34*EXP(-U38*U41)*NORMSDIST(-U42)+EXP(-U37*U41)*U35*NORMSDIST(-U43)</f>
        <v>4.6763308245421484</v>
      </c>
      <c r="V44" s="35"/>
      <c r="W44" s="35">
        <f ca="1">W34*EXP(-W38*W41)*NORMSDIST(W42)-EXP(-W37*W41)*W35*NORMSDIST(W43)</f>
        <v>59.769634007005379</v>
      </c>
      <c r="X44" s="35">
        <f ca="1">-X34*EXP(-X38*X41)*NORMSDIST(-X42)+EXP(-X37*X41)*X35*NORMSDIST(-X43)</f>
        <v>39.077103455100882</v>
      </c>
      <c r="Y44" s="35">
        <f ca="1">Y34*EXP(-Y38*Y41)*NORMSDIST(Y42)-EXP(-Y37*Y41)*Y35*NORMSDIST(Y43)</f>
        <v>4.7025864399715118</v>
      </c>
      <c r="Z44" s="35">
        <f ca="1">-Z34*EXP(-Z38*Z41)*NORMSDIST(-Z42)+EXP(-Z37*Z41)*Y35*NORMSDIST(-Z43)</f>
        <v>3.4438251380757805</v>
      </c>
    </row>
    <row r="45" spans="1:26" ht="15" x14ac:dyDescent="0.25">
      <c r="A45" t="s">
        <v>22</v>
      </c>
      <c r="Q45" s="29" t="s">
        <v>54</v>
      </c>
      <c r="R45" s="35">
        <f>100*R44</f>
        <v>5093.0807768193627</v>
      </c>
      <c r="S45" s="35">
        <f>100*S44</f>
        <v>5466.9203462050409</v>
      </c>
      <c r="T45" s="35">
        <f>100*T44</f>
        <v>407.36626718738904</v>
      </c>
      <c r="U45" s="35">
        <f>100*U44</f>
        <v>467.63308245421484</v>
      </c>
      <c r="V45" s="35"/>
      <c r="W45" s="35">
        <f ca="1">100*W44</f>
        <v>5976.9634007005379</v>
      </c>
      <c r="X45" s="35">
        <f ca="1">100*X44</f>
        <v>3907.7103455100882</v>
      </c>
      <c r="Y45" s="35">
        <f ca="1">100*Y44</f>
        <v>470.25864399715118</v>
      </c>
      <c r="Z45" s="35">
        <f ca="1">100*Z44</f>
        <v>344.38251380757805</v>
      </c>
    </row>
    <row r="46" spans="1:26" ht="15" x14ac:dyDescent="0.25">
      <c r="A46" t="s">
        <v>23</v>
      </c>
      <c r="Q46" s="37" t="s">
        <v>87</v>
      </c>
      <c r="R46" s="38">
        <f>-50*R45</f>
        <v>-254654.03884096813</v>
      </c>
      <c r="S46" s="38">
        <f>-50*S45</f>
        <v>-273346.01731025206</v>
      </c>
      <c r="T46" s="38">
        <f>550*T45</f>
        <v>224051.44695306398</v>
      </c>
      <c r="U46" s="38">
        <f>550*U45</f>
        <v>257198.19534981815</v>
      </c>
      <c r="V46" s="38"/>
      <c r="W46" s="38">
        <f ca="1">-50*W45</f>
        <v>-298848.17003502691</v>
      </c>
      <c r="X46" s="38">
        <f ca="1">-50*X45</f>
        <v>-195385.51727550442</v>
      </c>
      <c r="Y46" s="38">
        <f ca="1">550*Y45</f>
        <v>258642.25419843316</v>
      </c>
      <c r="Z46" s="38">
        <f ca="1">550*Z45</f>
        <v>189410.38259416792</v>
      </c>
    </row>
    <row r="47" spans="1:26" ht="15" x14ac:dyDescent="0.25">
      <c r="C47" s="1" t="s">
        <v>24</v>
      </c>
      <c r="N47" s="1" t="s">
        <v>25</v>
      </c>
      <c r="Q47" s="20" t="s">
        <v>72</v>
      </c>
      <c r="R47" s="27">
        <f>SUM(R46:U46)</f>
        <v>-46750.413848338125</v>
      </c>
      <c r="S47" s="27"/>
      <c r="T47" s="36"/>
      <c r="U47" s="36"/>
      <c r="V47" s="36"/>
      <c r="W47" s="27">
        <f ca="1">SUM(W46:Z46)</f>
        <v>-46181.050517930242</v>
      </c>
      <c r="X47" s="44"/>
      <c r="Z47" s="29"/>
    </row>
    <row r="48" spans="1:26" ht="15" x14ac:dyDescent="0.25">
      <c r="A48" s="1"/>
      <c r="B48" s="1" t="s">
        <v>26</v>
      </c>
      <c r="C48" s="1" t="s">
        <v>27</v>
      </c>
      <c r="D48" s="4" t="s">
        <v>28</v>
      </c>
      <c r="E48" s="1"/>
      <c r="F48" s="1"/>
      <c r="G48" s="1"/>
      <c r="H48" s="1"/>
      <c r="I48" s="1"/>
      <c r="J48" s="1"/>
      <c r="K48" s="1"/>
      <c r="L48" s="1"/>
      <c r="M48" s="1"/>
      <c r="N48" s="1" t="s">
        <v>29</v>
      </c>
      <c r="X48" s="45"/>
      <c r="Y48" s="29"/>
      <c r="Z48" s="29"/>
    </row>
    <row r="49" spans="1:26" ht="15" x14ac:dyDescent="0.25">
      <c r="A49" s="1"/>
      <c r="B49" s="1" t="s">
        <v>30</v>
      </c>
      <c r="C49" s="1" t="s">
        <v>25</v>
      </c>
      <c r="D49" s="4" t="s">
        <v>31</v>
      </c>
      <c r="E49" s="1"/>
      <c r="F49" s="1"/>
      <c r="G49" s="1"/>
      <c r="H49" s="1"/>
      <c r="I49" s="1"/>
      <c r="J49" s="1"/>
      <c r="K49" s="1"/>
      <c r="L49" s="1"/>
      <c r="M49" s="1"/>
      <c r="N49" s="1" t="s">
        <v>32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ht="15" x14ac:dyDescent="0.25">
      <c r="A50" s="11" t="s">
        <v>33</v>
      </c>
      <c r="B50" s="11" t="s">
        <v>34</v>
      </c>
      <c r="C50" s="11" t="s">
        <v>35</v>
      </c>
      <c r="D50" s="12" t="s">
        <v>36</v>
      </c>
      <c r="E50" s="11"/>
      <c r="F50" s="11"/>
      <c r="G50" s="11"/>
      <c r="H50" s="11"/>
      <c r="I50" s="11"/>
      <c r="J50" s="11"/>
      <c r="K50" s="11"/>
      <c r="L50" s="11"/>
      <c r="M50" s="11"/>
      <c r="N50" s="11" t="s">
        <v>37</v>
      </c>
      <c r="Q50" s="29"/>
      <c r="R50" s="29"/>
      <c r="S50" s="36"/>
      <c r="T50" s="29"/>
      <c r="U50" s="29"/>
      <c r="V50" s="29"/>
      <c r="W50" s="29"/>
      <c r="X50" s="29"/>
      <c r="Y50" s="29"/>
      <c r="Z50" s="29"/>
    </row>
    <row r="51" spans="1:26" ht="15" x14ac:dyDescent="0.25">
      <c r="A51" s="3">
        <v>1</v>
      </c>
      <c r="B51" s="16">
        <f t="shared" ref="B51:B60" ca="1" si="7">RAND()</f>
        <v>0.83541690828690796</v>
      </c>
      <c r="C51" s="16">
        <f t="shared" ref="C51:C60" ca="1" si="8">NORMSINV(B51)</f>
        <v>0.97579475708716712</v>
      </c>
      <c r="D51" s="17">
        <f>Square_Root!C113</f>
        <v>1.3201109158755072E-2</v>
      </c>
      <c r="E51" s="17">
        <f>Square_Root!D113</f>
        <v>0</v>
      </c>
      <c r="F51" s="17">
        <f>Square_Root!E113</f>
        <v>0</v>
      </c>
      <c r="G51" s="17">
        <f>Square_Root!F113</f>
        <v>0</v>
      </c>
      <c r="H51" s="17">
        <f>Square_Root!G113</f>
        <v>0</v>
      </c>
      <c r="I51" s="17">
        <f>Square_Root!H113</f>
        <v>0</v>
      </c>
      <c r="J51" s="17">
        <f>Square_Root!I113</f>
        <v>0</v>
      </c>
      <c r="K51" s="17">
        <f>Square_Root!J113</f>
        <v>0</v>
      </c>
      <c r="L51" s="17">
        <f>Square_Root!K113</f>
        <v>0</v>
      </c>
      <c r="M51" s="17">
        <f>Square_Root!L113</f>
        <v>0</v>
      </c>
      <c r="N51" s="18">
        <f ca="1">INDEX(MMULT($D$51:$D$51,$C$51:$C$51),1,1)+C20</f>
        <v>1.2881573104848583E-2</v>
      </c>
      <c r="P51" s="1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ht="15" x14ac:dyDescent="0.25">
      <c r="A52" s="3">
        <v>2</v>
      </c>
      <c r="B52" s="16">
        <f t="shared" ca="1" si="7"/>
        <v>0.36259538669876334</v>
      </c>
      <c r="C52" s="16">
        <f t="shared" ca="1" si="8"/>
        <v>-0.35152999549733194</v>
      </c>
      <c r="D52" s="17">
        <f>Square_Root!C114</f>
        <v>1.2851981359626282E-2</v>
      </c>
      <c r="E52" s="17">
        <f>Square_Root!D114</f>
        <v>3.1613398596372234E-3</v>
      </c>
      <c r="F52" s="17">
        <f>Square_Root!E114</f>
        <v>0</v>
      </c>
      <c r="G52" s="17">
        <f>Square_Root!F114</f>
        <v>0</v>
      </c>
      <c r="H52" s="17">
        <f>Square_Root!G114</f>
        <v>0</v>
      </c>
      <c r="I52" s="17">
        <f>Square_Root!H114</f>
        <v>0</v>
      </c>
      <c r="J52" s="17">
        <f>Square_Root!I114</f>
        <v>0</v>
      </c>
      <c r="K52" s="17">
        <f>Square_Root!J114</f>
        <v>0</v>
      </c>
      <c r="L52" s="17">
        <f>Square_Root!K114</f>
        <v>0</v>
      </c>
      <c r="M52" s="17">
        <f>Square_Root!L114</f>
        <v>0</v>
      </c>
      <c r="N52" s="18">
        <f ca="1">INDEX(MMULT($D$51:$E$52,$C$51:$C$52),2,1)+C21</f>
        <v>1.1429590242281518E-2</v>
      </c>
      <c r="P52" s="1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0.2">
      <c r="A53" s="3">
        <v>3</v>
      </c>
      <c r="B53" s="16">
        <f t="shared" ca="1" si="7"/>
        <v>0.85176115330872837</v>
      </c>
      <c r="C53" s="16">
        <f t="shared" ca="1" si="8"/>
        <v>1.0440166348709488</v>
      </c>
      <c r="D53" s="17">
        <f>Square_Root!C115</f>
        <v>-7.4582866706937131E-2</v>
      </c>
      <c r="E53" s="17">
        <f>Square_Root!D115</f>
        <v>4.6683296687881418E-3</v>
      </c>
      <c r="F53" s="17">
        <f>Square_Root!E115</f>
        <v>3.1359146196151551E-2</v>
      </c>
      <c r="G53" s="17">
        <f>Square_Root!F115</f>
        <v>0</v>
      </c>
      <c r="H53" s="17">
        <f>Square_Root!G115</f>
        <v>0</v>
      </c>
      <c r="I53" s="17">
        <f>Square_Root!H115</f>
        <v>0</v>
      </c>
      <c r="J53" s="17">
        <f>Square_Root!I115</f>
        <v>0</v>
      </c>
      <c r="K53" s="17">
        <f>Square_Root!J115</f>
        <v>0</v>
      </c>
      <c r="L53" s="17">
        <f>Square_Root!K115</f>
        <v>0</v>
      </c>
      <c r="M53" s="17">
        <f>Square_Root!L115</f>
        <v>0</v>
      </c>
      <c r="N53" s="18">
        <f ca="1">INDEX(MMULT($D$51:$F$53,$C$51:$C$53),3,1)+C22</f>
        <v>-4.1679157924477184E-2</v>
      </c>
      <c r="P53" s="19"/>
    </row>
    <row r="54" spans="1:26" x14ac:dyDescent="0.2">
      <c r="A54" s="3">
        <v>4</v>
      </c>
      <c r="B54" s="16">
        <f t="shared" ca="1" si="7"/>
        <v>0.52333110158582563</v>
      </c>
      <c r="C54" s="16">
        <f t="shared" ca="1" si="8"/>
        <v>5.8515775707687942E-2</v>
      </c>
      <c r="D54" s="17">
        <f>Square_Root!C116</f>
        <v>-6.860843777269944E-2</v>
      </c>
      <c r="E54" s="17">
        <f>Square_Root!D116</f>
        <v>-1.5489237274498768E-3</v>
      </c>
      <c r="F54" s="17">
        <f>Square_Root!E116</f>
        <v>2.574844601466315E-2</v>
      </c>
      <c r="G54" s="17">
        <f>Square_Root!F116</f>
        <v>1.4152243097223486E-2</v>
      </c>
      <c r="H54" s="17">
        <f>Square_Root!G116</f>
        <v>0</v>
      </c>
      <c r="I54" s="17">
        <f>Square_Root!H116</f>
        <v>0</v>
      </c>
      <c r="J54" s="17">
        <f>Square_Root!I116</f>
        <v>0</v>
      </c>
      <c r="K54" s="17">
        <f>Square_Root!J116</f>
        <v>0</v>
      </c>
      <c r="L54" s="17">
        <f>Square_Root!K116</f>
        <v>0</v>
      </c>
      <c r="M54" s="17">
        <f>Square_Root!L116</f>
        <v>0</v>
      </c>
      <c r="N54" s="18">
        <f ca="1">INDEX(MMULT($D$51:$G$54,$C$51:$C$54),4,1)+C23</f>
        <v>-3.8693325275382405E-2</v>
      </c>
      <c r="P54" s="19"/>
    </row>
    <row r="55" spans="1:26" x14ac:dyDescent="0.2">
      <c r="A55" s="3">
        <v>5</v>
      </c>
      <c r="B55" s="2">
        <f t="shared" ca="1" si="7"/>
        <v>0.73710655891683285</v>
      </c>
      <c r="C55" s="2">
        <f t="shared" ca="1" si="8"/>
        <v>0.63445046828064389</v>
      </c>
      <c r="D55" s="13">
        <f>Square_Root!C117</f>
        <v>0</v>
      </c>
      <c r="E55" s="13">
        <f>Square_Root!D117</f>
        <v>0</v>
      </c>
      <c r="F55" s="13">
        <f>Square_Root!E117</f>
        <v>0</v>
      </c>
      <c r="G55" s="13">
        <f>Square_Root!F117</f>
        <v>0</v>
      </c>
      <c r="H55" s="13">
        <f>Square_Root!G117</f>
        <v>9.9999999999999991E-5</v>
      </c>
      <c r="I55" s="13">
        <f>Square_Root!H117</f>
        <v>0</v>
      </c>
      <c r="J55" s="13">
        <f>Square_Root!I117</f>
        <v>0</v>
      </c>
      <c r="K55" s="13">
        <f>Square_Root!J117</f>
        <v>0</v>
      </c>
      <c r="L55" s="13">
        <f>Square_Root!K117</f>
        <v>0</v>
      </c>
      <c r="M55" s="13">
        <f>Square_Root!L117</f>
        <v>0</v>
      </c>
      <c r="N55" s="10">
        <f ca="1">INDEX(MMULT($D$51:$H$55,$C$51:$C$55),5,1)+C24</f>
        <v>6.3445046828064389E-5</v>
      </c>
      <c r="P55" s="68"/>
    </row>
    <row r="56" spans="1:26" x14ac:dyDescent="0.2">
      <c r="A56" s="3">
        <v>6</v>
      </c>
      <c r="B56" s="2">
        <f t="shared" ca="1" si="7"/>
        <v>0.52896082626976249</v>
      </c>
      <c r="C56" s="2">
        <f t="shared" ca="1" si="8"/>
        <v>7.2657904310112237E-2</v>
      </c>
      <c r="D56" s="13">
        <f>Square_Root!C118</f>
        <v>0</v>
      </c>
      <c r="E56" s="13">
        <f>Square_Root!D118</f>
        <v>0</v>
      </c>
      <c r="F56" s="13">
        <f>Square_Root!E118</f>
        <v>0</v>
      </c>
      <c r="G56" s="13">
        <f>Square_Root!F118</f>
        <v>0</v>
      </c>
      <c r="H56" s="13">
        <f>Square_Root!G118</f>
        <v>0</v>
      </c>
      <c r="I56" s="13">
        <f>Square_Root!H118</f>
        <v>1E-4</v>
      </c>
      <c r="J56" s="13">
        <f>Square_Root!I118</f>
        <v>0</v>
      </c>
      <c r="K56" s="13">
        <f>Square_Root!J118</f>
        <v>0</v>
      </c>
      <c r="L56" s="13">
        <f>Square_Root!K118</f>
        <v>0</v>
      </c>
      <c r="M56" s="13">
        <f>Square_Root!L118</f>
        <v>0</v>
      </c>
      <c r="N56" s="10">
        <f ca="1">INDEX(MMULT($D$51:$I$56,$C$51:$C$56),6,1)+C25</f>
        <v>7.2657904310112237E-6</v>
      </c>
    </row>
    <row r="57" spans="1:26" x14ac:dyDescent="0.2">
      <c r="A57">
        <v>7</v>
      </c>
      <c r="B57" s="2">
        <f t="shared" ca="1" si="7"/>
        <v>0.87152917951378783</v>
      </c>
      <c r="C57" s="2">
        <f t="shared" ca="1" si="8"/>
        <v>1.1336494037140668</v>
      </c>
      <c r="D57" s="13">
        <f>Square_Root!C119</f>
        <v>0</v>
      </c>
      <c r="E57" s="13">
        <f>Square_Root!D119</f>
        <v>0</v>
      </c>
      <c r="F57" s="13">
        <f>Square_Root!E119</f>
        <v>0</v>
      </c>
      <c r="G57" s="13">
        <f>Square_Root!F119</f>
        <v>0</v>
      </c>
      <c r="H57" s="13">
        <f>Square_Root!G119</f>
        <v>0</v>
      </c>
      <c r="I57" s="13">
        <f>Square_Root!H119</f>
        <v>0</v>
      </c>
      <c r="J57" s="13">
        <f>Square_Root!I119</f>
        <v>1E-4</v>
      </c>
      <c r="K57" s="13">
        <f>Square_Root!J119</f>
        <v>0</v>
      </c>
      <c r="L57" s="13">
        <f>Square_Root!K119</f>
        <v>0</v>
      </c>
      <c r="M57" s="13">
        <f>Square_Root!L119</f>
        <v>0</v>
      </c>
      <c r="N57" s="10">
        <f ca="1">INDEX(MMULT($D$51:$J$57,$C$51:$C$57),7,1)+C26</f>
        <v>1.1336494037140669E-4</v>
      </c>
    </row>
    <row r="58" spans="1:26" x14ac:dyDescent="0.2">
      <c r="A58">
        <v>8</v>
      </c>
      <c r="B58" s="2">
        <f t="shared" ca="1" si="7"/>
        <v>9.276673440589811E-2</v>
      </c>
      <c r="C58" s="2">
        <f t="shared" ca="1" si="8"/>
        <v>-1.3239083979442443</v>
      </c>
      <c r="D58" s="13">
        <f>Square_Root!C120</f>
        <v>0</v>
      </c>
      <c r="E58" s="13">
        <f>Square_Root!D120</f>
        <v>0</v>
      </c>
      <c r="F58" s="13">
        <f>Square_Root!E120</f>
        <v>0</v>
      </c>
      <c r="G58" s="13">
        <f>Square_Root!F120</f>
        <v>0</v>
      </c>
      <c r="H58" s="13">
        <f>Square_Root!G120</f>
        <v>0</v>
      </c>
      <c r="I58" s="13">
        <f>Square_Root!H120</f>
        <v>0</v>
      </c>
      <c r="J58" s="13">
        <f>Square_Root!I120</f>
        <v>0</v>
      </c>
      <c r="K58" s="13">
        <f>Square_Root!J120</f>
        <v>1E-4</v>
      </c>
      <c r="L58" s="13">
        <f>Square_Root!K120</f>
        <v>0</v>
      </c>
      <c r="M58" s="13">
        <f>Square_Root!L120</f>
        <v>0</v>
      </c>
      <c r="N58" s="10">
        <f ca="1">INDEX(MMULT($D$51:$K$58,$C$51:$C$58),8,1)+C27</f>
        <v>-1.3239083979442443E-4</v>
      </c>
    </row>
    <row r="59" spans="1:26" x14ac:dyDescent="0.2">
      <c r="A59">
        <v>9</v>
      </c>
      <c r="B59" s="2">
        <f t="shared" ca="1" si="7"/>
        <v>0.10118843026607205</v>
      </c>
      <c r="C59" s="2">
        <f t="shared" ca="1" si="8"/>
        <v>-1.2748089826421201</v>
      </c>
      <c r="D59" s="13">
        <f>Square_Root!C121</f>
        <v>0</v>
      </c>
      <c r="E59" s="13">
        <f>Square_Root!D121</f>
        <v>0</v>
      </c>
      <c r="F59" s="13">
        <f>Square_Root!E121</f>
        <v>0</v>
      </c>
      <c r="G59" s="13">
        <f>Square_Root!F121</f>
        <v>0</v>
      </c>
      <c r="H59" s="13">
        <f>Square_Root!G121</f>
        <v>0</v>
      </c>
      <c r="I59" s="13">
        <f>Square_Root!H121</f>
        <v>0</v>
      </c>
      <c r="J59" s="13">
        <f>Square_Root!I121</f>
        <v>0</v>
      </c>
      <c r="K59" s="13">
        <f>Square_Root!J121</f>
        <v>0</v>
      </c>
      <c r="L59" s="13">
        <f>Square_Root!K121</f>
        <v>1E-4</v>
      </c>
      <c r="M59" s="13">
        <f>Square_Root!L121</f>
        <v>0</v>
      </c>
      <c r="N59" s="10">
        <f ca="1">INDEX(MMULT($D$51:$L$59,$C$51:$C$59),9,1)+C28</f>
        <v>-1.27480898264212E-4</v>
      </c>
    </row>
    <row r="60" spans="1:26" x14ac:dyDescent="0.2">
      <c r="A60">
        <v>10</v>
      </c>
      <c r="B60" s="2">
        <f t="shared" ca="1" si="7"/>
        <v>0.12504654697986628</v>
      </c>
      <c r="C60" s="2">
        <f t="shared" ca="1" si="8"/>
        <v>-1.1501232927907052</v>
      </c>
      <c r="D60" s="13">
        <f>Square_Root!C122</f>
        <v>0</v>
      </c>
      <c r="E60" s="13">
        <f>Square_Root!D122</f>
        <v>0</v>
      </c>
      <c r="F60" s="13">
        <f>Square_Root!E122</f>
        <v>0</v>
      </c>
      <c r="G60" s="13">
        <f>Square_Root!F122</f>
        <v>0</v>
      </c>
      <c r="H60" s="13">
        <f>Square_Root!G122</f>
        <v>0</v>
      </c>
      <c r="I60" s="13">
        <f>Square_Root!H122</f>
        <v>0</v>
      </c>
      <c r="J60" s="13">
        <f>Square_Root!I122</f>
        <v>0</v>
      </c>
      <c r="K60" s="13">
        <f>Square_Root!J122</f>
        <v>0</v>
      </c>
      <c r="L60" s="13">
        <f>Square_Root!K122</f>
        <v>0</v>
      </c>
      <c r="M60" s="13">
        <f>Square_Root!L122</f>
        <v>1E-4</v>
      </c>
      <c r="N60" s="10">
        <f ca="1">INDEX(MMULT($D$51:$M$60,$C$51:$C$60),10,1)+C29</f>
        <v>-1.1501232927907052E-4</v>
      </c>
    </row>
  </sheetData>
  <mergeCells count="3">
    <mergeCell ref="R32:U32"/>
    <mergeCell ref="W32:Z32"/>
    <mergeCell ref="Q31:Z31"/>
  </mergeCells>
  <phoneticPr fontId="0" type="noConversion"/>
  <pageMargins left="0.75" right="0.75" top="1" bottom="1" header="0.5" footer="0.5"/>
  <pageSetup orientation="portrait" horizontalDpi="300" verticalDpi="300"/>
  <headerFooter alignWithMargins="0">
    <oddHeader>&amp;A</oddHeader>
    <oddFooter>Page &amp;P</oddFooter>
  </headerFooter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50"/>
  <sheetViews>
    <sheetView workbookViewId="0">
      <selection activeCell="D24" sqref="D24"/>
    </sheetView>
  </sheetViews>
  <sheetFormatPr defaultColWidth="8.85546875" defaultRowHeight="12.75" x14ac:dyDescent="0.2"/>
  <sheetData>
    <row r="1" spans="1:12" x14ac:dyDescent="0.2">
      <c r="B1" t="s">
        <v>38</v>
      </c>
    </row>
    <row r="2" spans="1:12" x14ac:dyDescent="0.2">
      <c r="B2" t="s">
        <v>39</v>
      </c>
    </row>
    <row r="3" spans="1:12" x14ac:dyDescent="0.2">
      <c r="B3" t="s">
        <v>40</v>
      </c>
    </row>
    <row r="4" spans="1:12" x14ac:dyDescent="0.2">
      <c r="B4" t="s">
        <v>41</v>
      </c>
    </row>
    <row r="5" spans="1:12" x14ac:dyDescent="0.2">
      <c r="B5" t="s">
        <v>42</v>
      </c>
    </row>
    <row r="7" spans="1:12" x14ac:dyDescent="0.2">
      <c r="C7" t="s">
        <v>61</v>
      </c>
    </row>
    <row r="8" spans="1:12" ht="13.5" thickBot="1" x14ac:dyDescent="0.25">
      <c r="C8" s="7">
        <v>1</v>
      </c>
      <c r="D8" s="7">
        <v>2</v>
      </c>
      <c r="E8" s="7">
        <v>3</v>
      </c>
      <c r="F8" s="7">
        <v>4</v>
      </c>
      <c r="G8" s="7">
        <v>5</v>
      </c>
      <c r="H8" s="7">
        <v>6</v>
      </c>
      <c r="I8" s="7">
        <v>7</v>
      </c>
      <c r="J8" s="7">
        <v>8</v>
      </c>
      <c r="K8" s="7">
        <v>9</v>
      </c>
      <c r="L8" s="7">
        <v>10</v>
      </c>
    </row>
    <row r="9" spans="1:12" x14ac:dyDescent="0.2">
      <c r="C9">
        <f>sigma1</f>
        <v>1.3201109158755072E-2</v>
      </c>
      <c r="D9">
        <f>sigma2</f>
        <v>1.3235085741177219E-2</v>
      </c>
      <c r="E9">
        <f>sigma3</f>
        <v>8.1041923461087989E-2</v>
      </c>
      <c r="F9">
        <f>sigma4</f>
        <v>7.4651090783569712E-2</v>
      </c>
      <c r="G9">
        <f>sigma5</f>
        <v>1E-4</v>
      </c>
      <c r="H9">
        <f>sigma6</f>
        <v>1E-4</v>
      </c>
      <c r="I9">
        <f>sigma7</f>
        <v>1E-4</v>
      </c>
      <c r="J9">
        <f>sigma8</f>
        <v>1E-4</v>
      </c>
      <c r="K9">
        <f>sigma9</f>
        <v>1E-4</v>
      </c>
      <c r="L9">
        <f>sigma10</f>
        <v>1E-4</v>
      </c>
    </row>
    <row r="11" spans="1:12" x14ac:dyDescent="0.2">
      <c r="C11" t="s">
        <v>59</v>
      </c>
    </row>
    <row r="12" spans="1:12" ht="13.5" thickBot="1" x14ac:dyDescent="0.25">
      <c r="C12" s="7">
        <v>1</v>
      </c>
      <c r="D12" s="7">
        <v>2</v>
      </c>
      <c r="E12" s="7">
        <v>3</v>
      </c>
      <c r="F12" s="7">
        <v>4</v>
      </c>
      <c r="G12" s="7">
        <v>5</v>
      </c>
      <c r="H12" s="7">
        <v>6</v>
      </c>
      <c r="I12" s="7">
        <v>7</v>
      </c>
      <c r="J12" s="7">
        <v>8</v>
      </c>
      <c r="K12" s="7">
        <v>9</v>
      </c>
      <c r="L12" s="7">
        <v>10</v>
      </c>
    </row>
    <row r="13" spans="1:12" x14ac:dyDescent="0.2">
      <c r="A13">
        <f>sigma1</f>
        <v>1.3201109158755072E-2</v>
      </c>
      <c r="B13" s="8">
        <v>1</v>
      </c>
      <c r="C13">
        <f>Simulation_inputs!F20</f>
        <v>1</v>
      </c>
      <c r="D13">
        <f>Simulation_inputs!G20</f>
        <v>0.97105387988843805</v>
      </c>
      <c r="E13">
        <f>Simulation_inputs!H20</f>
        <v>-0.92029980930484512</v>
      </c>
      <c r="F13">
        <f>Simulation_inputs!I20</f>
        <v>-0.91905472582591907</v>
      </c>
      <c r="G13">
        <f>Simulation_inputs!J20</f>
        <v>0</v>
      </c>
      <c r="H13">
        <f>Simulation_inputs!K20</f>
        <v>0</v>
      </c>
      <c r="I13">
        <f>Simulation_inputs!L20</f>
        <v>0</v>
      </c>
      <c r="J13">
        <f>Simulation_inputs!M20</f>
        <v>0</v>
      </c>
      <c r="K13">
        <f>Simulation_inputs!N20</f>
        <v>0</v>
      </c>
      <c r="L13">
        <f>Simulation_inputs!O20</f>
        <v>0</v>
      </c>
    </row>
    <row r="14" spans="1:12" x14ac:dyDescent="0.2">
      <c r="A14">
        <f>sigma2</f>
        <v>1.3235085741177219E-2</v>
      </c>
      <c r="B14" s="8">
        <v>2</v>
      </c>
      <c r="C14">
        <f>Simulation_inputs!F21</f>
        <v>0.97105387988843805</v>
      </c>
      <c r="D14">
        <f>Simulation_inputs!G21</f>
        <v>0.99999999999999989</v>
      </c>
      <c r="E14">
        <f>Simulation_inputs!H21</f>
        <v>-0.8799014047448267</v>
      </c>
      <c r="F14">
        <f>Simulation_inputs!I21</f>
        <v>-0.89740773728224432</v>
      </c>
      <c r="G14">
        <f>Simulation_inputs!J21</f>
        <v>0</v>
      </c>
      <c r="H14">
        <f>Simulation_inputs!K21</f>
        <v>0</v>
      </c>
      <c r="I14">
        <f>Simulation_inputs!L21</f>
        <v>0</v>
      </c>
      <c r="J14">
        <f>Simulation_inputs!M21</f>
        <v>0</v>
      </c>
      <c r="K14">
        <f>Simulation_inputs!N21</f>
        <v>0</v>
      </c>
      <c r="L14">
        <f>Simulation_inputs!O21</f>
        <v>0</v>
      </c>
    </row>
    <row r="15" spans="1:12" x14ac:dyDescent="0.2">
      <c r="A15">
        <f>sigma3</f>
        <v>8.1041923461087989E-2</v>
      </c>
      <c r="B15" s="8">
        <v>3</v>
      </c>
      <c r="C15">
        <f>Simulation_inputs!F22</f>
        <v>-0.92029980930484512</v>
      </c>
      <c r="D15">
        <f>Simulation_inputs!G22</f>
        <v>-0.8799014047448267</v>
      </c>
      <c r="E15">
        <f>Simulation_inputs!H22</f>
        <v>1</v>
      </c>
      <c r="F15">
        <f>Simulation_inputs!I22</f>
        <v>0.97807627865488223</v>
      </c>
      <c r="G15">
        <f>Simulation_inputs!J22</f>
        <v>0</v>
      </c>
      <c r="H15">
        <f>Simulation_inputs!K22</f>
        <v>0</v>
      </c>
      <c r="I15">
        <f>Simulation_inputs!L22</f>
        <v>0</v>
      </c>
      <c r="J15">
        <f>Simulation_inputs!M22</f>
        <v>0</v>
      </c>
      <c r="K15">
        <f>Simulation_inputs!N22</f>
        <v>0</v>
      </c>
      <c r="L15">
        <f>Simulation_inputs!O22</f>
        <v>0</v>
      </c>
    </row>
    <row r="16" spans="1:12" x14ac:dyDescent="0.2">
      <c r="A16">
        <f>sigma4</f>
        <v>7.4651090783569712E-2</v>
      </c>
      <c r="B16" s="8">
        <v>4</v>
      </c>
      <c r="C16">
        <f>Simulation_inputs!F23</f>
        <v>-0.91905472582591907</v>
      </c>
      <c r="D16">
        <f>Simulation_inputs!G23</f>
        <v>-0.89740773728224432</v>
      </c>
      <c r="E16">
        <f>Simulation_inputs!H23</f>
        <v>0.97807627865488223</v>
      </c>
      <c r="F16">
        <f>Simulation_inputs!I23</f>
        <v>0.99999999999999989</v>
      </c>
      <c r="G16">
        <f>Simulation_inputs!J23</f>
        <v>0</v>
      </c>
      <c r="H16">
        <f>Simulation_inputs!K23</f>
        <v>0</v>
      </c>
      <c r="I16">
        <f>Simulation_inputs!L23</f>
        <v>0</v>
      </c>
      <c r="J16">
        <f>Simulation_inputs!M23</f>
        <v>0</v>
      </c>
      <c r="K16">
        <f>Simulation_inputs!N23</f>
        <v>0</v>
      </c>
      <c r="L16">
        <f>Simulation_inputs!O23</f>
        <v>0</v>
      </c>
    </row>
    <row r="17" spans="1:14" x14ac:dyDescent="0.2">
      <c r="A17">
        <f>sigma5</f>
        <v>1E-4</v>
      </c>
      <c r="B17" s="8">
        <v>5</v>
      </c>
      <c r="C17">
        <f>Simulation_inputs!F24</f>
        <v>0</v>
      </c>
      <c r="D17">
        <f>Simulation_inputs!G24</f>
        <v>0</v>
      </c>
      <c r="E17">
        <f>Simulation_inputs!H24</f>
        <v>0</v>
      </c>
      <c r="F17">
        <f>Simulation_inputs!I24</f>
        <v>0</v>
      </c>
      <c r="G17">
        <f>Simulation_inputs!J24</f>
        <v>1</v>
      </c>
      <c r="H17">
        <f>Simulation_inputs!K24</f>
        <v>0</v>
      </c>
      <c r="I17">
        <f>Simulation_inputs!L24</f>
        <v>0</v>
      </c>
      <c r="J17">
        <f>Simulation_inputs!M24</f>
        <v>0</v>
      </c>
      <c r="K17">
        <f>Simulation_inputs!N24</f>
        <v>0</v>
      </c>
      <c r="L17">
        <f>Simulation_inputs!O24</f>
        <v>0</v>
      </c>
    </row>
    <row r="18" spans="1:14" x14ac:dyDescent="0.2">
      <c r="A18">
        <f>sigma6</f>
        <v>1E-4</v>
      </c>
      <c r="B18" s="8">
        <v>6</v>
      </c>
      <c r="C18">
        <f>Simulation_inputs!F25</f>
        <v>0</v>
      </c>
      <c r="D18">
        <f>Simulation_inputs!G25</f>
        <v>0</v>
      </c>
      <c r="E18">
        <f>Simulation_inputs!H25</f>
        <v>0</v>
      </c>
      <c r="F18">
        <f>Simulation_inputs!I25</f>
        <v>0</v>
      </c>
      <c r="G18">
        <f>Simulation_inputs!J25</f>
        <v>0</v>
      </c>
      <c r="H18">
        <f>Simulation_inputs!K25</f>
        <v>1</v>
      </c>
      <c r="I18">
        <f>Simulation_inputs!L25</f>
        <v>0</v>
      </c>
      <c r="J18">
        <f>Simulation_inputs!M25</f>
        <v>0</v>
      </c>
      <c r="K18">
        <f>Simulation_inputs!N25</f>
        <v>0</v>
      </c>
      <c r="L18">
        <f>Simulation_inputs!O25</f>
        <v>0</v>
      </c>
    </row>
    <row r="19" spans="1:14" x14ac:dyDescent="0.2">
      <c r="A19">
        <f>sigma7</f>
        <v>1E-4</v>
      </c>
      <c r="B19" s="8">
        <v>7</v>
      </c>
      <c r="C19">
        <f>Simulation_inputs!F26</f>
        <v>0</v>
      </c>
      <c r="D19">
        <f>Simulation_inputs!G26</f>
        <v>0</v>
      </c>
      <c r="E19">
        <f>Simulation_inputs!H26</f>
        <v>0</v>
      </c>
      <c r="F19">
        <f>Simulation_inputs!I26</f>
        <v>0</v>
      </c>
      <c r="G19">
        <f>Simulation_inputs!J26</f>
        <v>0</v>
      </c>
      <c r="H19">
        <f>Simulation_inputs!K26</f>
        <v>0</v>
      </c>
      <c r="I19">
        <f>Simulation_inputs!L26</f>
        <v>1</v>
      </c>
      <c r="J19">
        <f>Simulation_inputs!M26</f>
        <v>0</v>
      </c>
      <c r="K19">
        <f>Simulation_inputs!N26</f>
        <v>0</v>
      </c>
      <c r="L19">
        <f>Simulation_inputs!O26</f>
        <v>0</v>
      </c>
    </row>
    <row r="20" spans="1:14" x14ac:dyDescent="0.2">
      <c r="A20">
        <f>sigma8</f>
        <v>1E-4</v>
      </c>
      <c r="B20" s="8">
        <v>8</v>
      </c>
      <c r="C20">
        <f>Simulation_inputs!F27</f>
        <v>0</v>
      </c>
      <c r="D20">
        <f>Simulation_inputs!G27</f>
        <v>0</v>
      </c>
      <c r="E20">
        <f>Simulation_inputs!H27</f>
        <v>0</v>
      </c>
      <c r="F20">
        <f>Simulation_inputs!I27</f>
        <v>0</v>
      </c>
      <c r="G20">
        <f>Simulation_inputs!J27</f>
        <v>0</v>
      </c>
      <c r="H20">
        <f>Simulation_inputs!K27</f>
        <v>0</v>
      </c>
      <c r="I20">
        <f>Simulation_inputs!L27</f>
        <v>0</v>
      </c>
      <c r="J20">
        <f>Simulation_inputs!M27</f>
        <v>1</v>
      </c>
      <c r="K20">
        <f>Simulation_inputs!N27</f>
        <v>0</v>
      </c>
      <c r="L20">
        <f>Simulation_inputs!O27</f>
        <v>0</v>
      </c>
    </row>
    <row r="21" spans="1:14" x14ac:dyDescent="0.2">
      <c r="A21">
        <f>sigma9</f>
        <v>1E-4</v>
      </c>
      <c r="B21" s="8">
        <v>9</v>
      </c>
      <c r="C21">
        <f>Simulation_inputs!F28</f>
        <v>0</v>
      </c>
      <c r="D21">
        <f>Simulation_inputs!G28</f>
        <v>0</v>
      </c>
      <c r="E21">
        <f>Simulation_inputs!H28</f>
        <v>0</v>
      </c>
      <c r="F21">
        <f>Simulation_inputs!I28</f>
        <v>0</v>
      </c>
      <c r="G21">
        <f>Simulation_inputs!J28</f>
        <v>0</v>
      </c>
      <c r="H21">
        <f>Simulation_inputs!K28</f>
        <v>0</v>
      </c>
      <c r="I21">
        <f>Simulation_inputs!L28</f>
        <v>0</v>
      </c>
      <c r="J21">
        <f>Simulation_inputs!M28</f>
        <v>0</v>
      </c>
      <c r="K21">
        <f>Simulation_inputs!N28</f>
        <v>1</v>
      </c>
      <c r="L21">
        <f>Simulation_inputs!O28</f>
        <v>0</v>
      </c>
    </row>
    <row r="22" spans="1:14" x14ac:dyDescent="0.2">
      <c r="A22">
        <f>sigma10</f>
        <v>1E-4</v>
      </c>
      <c r="B22" s="8">
        <v>10</v>
      </c>
      <c r="C22">
        <f>Simulation_inputs!F29</f>
        <v>0</v>
      </c>
      <c r="D22">
        <f>Simulation_inputs!G29</f>
        <v>0</v>
      </c>
      <c r="E22">
        <f>Simulation_inputs!H29</f>
        <v>0</v>
      </c>
      <c r="F22">
        <f>Simulation_inputs!I29</f>
        <v>0</v>
      </c>
      <c r="G22">
        <f>Simulation_inputs!J29</f>
        <v>0</v>
      </c>
      <c r="H22">
        <f>Simulation_inputs!K29</f>
        <v>0</v>
      </c>
      <c r="I22">
        <f>Simulation_inputs!L29</f>
        <v>0</v>
      </c>
      <c r="J22">
        <f>Simulation_inputs!M29</f>
        <v>0</v>
      </c>
      <c r="K22">
        <f>Simulation_inputs!N29</f>
        <v>0</v>
      </c>
      <c r="L22">
        <f>Simulation_inputs!O29</f>
        <v>1</v>
      </c>
    </row>
    <row r="25" spans="1:14" x14ac:dyDescent="0.2">
      <c r="N25" s="1" t="s">
        <v>43</v>
      </c>
    </row>
    <row r="26" spans="1:14" x14ac:dyDescent="0.2">
      <c r="C26" t="s">
        <v>60</v>
      </c>
      <c r="N26" s="1" t="s">
        <v>44</v>
      </c>
    </row>
    <row r="27" spans="1:14" ht="13.5" thickBot="1" x14ac:dyDescent="0.25">
      <c r="C27" s="7">
        <v>1</v>
      </c>
      <c r="D27" s="7">
        <v>2</v>
      </c>
      <c r="E27" s="7">
        <v>3</v>
      </c>
      <c r="F27" s="7">
        <v>4</v>
      </c>
      <c r="G27" s="7">
        <v>5</v>
      </c>
      <c r="H27" s="7">
        <v>6</v>
      </c>
      <c r="I27" s="7">
        <v>7</v>
      </c>
      <c r="J27" s="7">
        <v>8</v>
      </c>
      <c r="K27" s="7">
        <v>9</v>
      </c>
      <c r="L27" s="7">
        <v>10</v>
      </c>
      <c r="N27" s="9" t="s">
        <v>45</v>
      </c>
    </row>
    <row r="28" spans="1:14" x14ac:dyDescent="0.2">
      <c r="B28" s="8">
        <v>1</v>
      </c>
      <c r="C28">
        <f>C13*$A13*C$9</f>
        <v>1.7426928302136707E-4</v>
      </c>
      <c r="D28">
        <f t="shared" ref="D28:L28" si="0">D13*$A13*D$9</f>
        <v>1.6966040883471199E-4</v>
      </c>
      <c r="E28">
        <f t="shared" si="0"/>
        <v>-9.8457656477115652E-4</v>
      </c>
      <c r="F28">
        <f t="shared" si="0"/>
        <v>-9.0570747624906032E-4</v>
      </c>
      <c r="G28">
        <f t="shared" si="0"/>
        <v>0</v>
      </c>
      <c r="H28">
        <f t="shared" si="0"/>
        <v>0</v>
      </c>
      <c r="I28">
        <f t="shared" si="0"/>
        <v>0</v>
      </c>
      <c r="J28">
        <f t="shared" si="0"/>
        <v>0</v>
      </c>
      <c r="K28">
        <f t="shared" si="0"/>
        <v>0</v>
      </c>
      <c r="L28">
        <f t="shared" si="0"/>
        <v>0</v>
      </c>
      <c r="N28">
        <f>MDETERM($C$28:C28)</f>
        <v>1.7426928302136707E-4</v>
      </c>
    </row>
    <row r="29" spans="1:14" x14ac:dyDescent="0.2">
      <c r="B29" s="8">
        <v>2</v>
      </c>
      <c r="C29">
        <f t="shared" ref="C29:L29" si="1">C14*$A14*C$9</f>
        <v>1.6966040883471199E-4</v>
      </c>
      <c r="D29">
        <f t="shared" si="1"/>
        <v>1.7516749457631252E-4</v>
      </c>
      <c r="E29">
        <f t="shared" si="1"/>
        <v>-9.4377943600518069E-4</v>
      </c>
      <c r="F29">
        <f t="shared" si="1"/>
        <v>-8.8665103768693833E-4</v>
      </c>
      <c r="G29">
        <f t="shared" si="1"/>
        <v>0</v>
      </c>
      <c r="H29">
        <f t="shared" si="1"/>
        <v>0</v>
      </c>
      <c r="I29">
        <f t="shared" si="1"/>
        <v>0</v>
      </c>
      <c r="J29">
        <f t="shared" si="1"/>
        <v>0</v>
      </c>
      <c r="K29">
        <f t="shared" si="1"/>
        <v>0</v>
      </c>
      <c r="L29">
        <f t="shared" si="1"/>
        <v>0</v>
      </c>
      <c r="N29">
        <f>MDETERM($C$28:D29)</f>
        <v>1.7416593625015697E-9</v>
      </c>
    </row>
    <row r="30" spans="1:14" x14ac:dyDescent="0.2">
      <c r="B30" s="8">
        <v>3</v>
      </c>
      <c r="C30">
        <f t="shared" ref="C30:L30" si="2">C15*$A15*C$9</f>
        <v>-9.8457656477115652E-4</v>
      </c>
      <c r="D30">
        <f t="shared" si="2"/>
        <v>-9.4377943600518069E-4</v>
      </c>
      <c r="E30">
        <f t="shared" si="2"/>
        <v>6.5677933582728434E-3</v>
      </c>
      <c r="F30">
        <f t="shared" si="2"/>
        <v>5.9172323656784282E-3</v>
      </c>
      <c r="G30">
        <f t="shared" si="2"/>
        <v>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N30">
        <f>MDETERM($C$28:E30)</f>
        <v>1.7127409377936087E-12</v>
      </c>
    </row>
    <row r="31" spans="1:14" x14ac:dyDescent="0.2">
      <c r="B31" s="8">
        <v>4</v>
      </c>
      <c r="C31">
        <f t="shared" ref="C31:L31" si="3">C16*$A16*C$9</f>
        <v>-9.0570747624906022E-4</v>
      </c>
      <c r="D31">
        <f t="shared" si="3"/>
        <v>-8.8665103768693833E-4</v>
      </c>
      <c r="E31">
        <f t="shared" si="3"/>
        <v>5.9172323656784282E-3</v>
      </c>
      <c r="F31">
        <f t="shared" si="3"/>
        <v>5.5727853551767658E-3</v>
      </c>
      <c r="G31">
        <f t="shared" si="3"/>
        <v>0</v>
      </c>
      <c r="H31">
        <f t="shared" si="3"/>
        <v>0</v>
      </c>
      <c r="I31">
        <f t="shared" si="3"/>
        <v>0</v>
      </c>
      <c r="J31">
        <f t="shared" si="3"/>
        <v>0</v>
      </c>
      <c r="K31">
        <f t="shared" si="3"/>
        <v>0</v>
      </c>
      <c r="L31">
        <f t="shared" si="3"/>
        <v>0</v>
      </c>
      <c r="N31">
        <f>MDETERM($C$28:F31)</f>
        <v>3.430380052327233E-16</v>
      </c>
    </row>
    <row r="32" spans="1:14" x14ac:dyDescent="0.2">
      <c r="B32" s="8">
        <v>5</v>
      </c>
      <c r="C32">
        <f t="shared" ref="C32:L32" si="4">C17*$A17*C$9</f>
        <v>0</v>
      </c>
      <c r="D32">
        <f t="shared" si="4"/>
        <v>0</v>
      </c>
      <c r="E32">
        <f t="shared" si="4"/>
        <v>0</v>
      </c>
      <c r="F32">
        <f t="shared" si="4"/>
        <v>0</v>
      </c>
      <c r="G32">
        <f t="shared" si="4"/>
        <v>1E-8</v>
      </c>
      <c r="H32">
        <f t="shared" si="4"/>
        <v>0</v>
      </c>
      <c r="I32">
        <f t="shared" si="4"/>
        <v>0</v>
      </c>
      <c r="J32">
        <f t="shared" si="4"/>
        <v>0</v>
      </c>
      <c r="K32">
        <f t="shared" si="4"/>
        <v>0</v>
      </c>
      <c r="L32">
        <f t="shared" si="4"/>
        <v>0</v>
      </c>
      <c r="N32">
        <f>MDETERM($C$28:G32)</f>
        <v>3.4303800523272327E-24</v>
      </c>
    </row>
    <row r="33" spans="2:24" x14ac:dyDescent="0.2">
      <c r="B33" s="8">
        <v>6</v>
      </c>
      <c r="C33">
        <f t="shared" ref="C33:L33" si="5">C18*$A18*C$9</f>
        <v>0</v>
      </c>
      <c r="D33">
        <f t="shared" si="5"/>
        <v>0</v>
      </c>
      <c r="E33">
        <f t="shared" si="5"/>
        <v>0</v>
      </c>
      <c r="F33">
        <f t="shared" si="5"/>
        <v>0</v>
      </c>
      <c r="G33">
        <f t="shared" si="5"/>
        <v>0</v>
      </c>
      <c r="H33">
        <f t="shared" si="5"/>
        <v>1E-8</v>
      </c>
      <c r="I33">
        <f t="shared" si="5"/>
        <v>0</v>
      </c>
      <c r="J33">
        <f t="shared" si="5"/>
        <v>0</v>
      </c>
      <c r="K33">
        <f t="shared" si="5"/>
        <v>0</v>
      </c>
      <c r="L33">
        <f t="shared" si="5"/>
        <v>0</v>
      </c>
      <c r="N33">
        <f>MDETERM($C$28:H33)</f>
        <v>3.4303800523272328E-32</v>
      </c>
    </row>
    <row r="34" spans="2:24" x14ac:dyDescent="0.2">
      <c r="B34" s="8">
        <v>7</v>
      </c>
      <c r="C34">
        <f t="shared" ref="C34:L34" si="6">C19*$A19*C$9</f>
        <v>0</v>
      </c>
      <c r="D34">
        <f t="shared" si="6"/>
        <v>0</v>
      </c>
      <c r="E34">
        <f t="shared" si="6"/>
        <v>0</v>
      </c>
      <c r="F34">
        <f t="shared" si="6"/>
        <v>0</v>
      </c>
      <c r="G34">
        <f t="shared" si="6"/>
        <v>0</v>
      </c>
      <c r="H34">
        <f t="shared" si="6"/>
        <v>0</v>
      </c>
      <c r="I34">
        <f t="shared" si="6"/>
        <v>1E-8</v>
      </c>
      <c r="J34">
        <f t="shared" si="6"/>
        <v>0</v>
      </c>
      <c r="K34">
        <f t="shared" si="6"/>
        <v>0</v>
      </c>
      <c r="L34">
        <f t="shared" si="6"/>
        <v>0</v>
      </c>
      <c r="N34">
        <f>MDETERM($C$28:I34)</f>
        <v>3.4303800523272328E-40</v>
      </c>
    </row>
    <row r="35" spans="2:24" x14ac:dyDescent="0.2">
      <c r="B35" s="8">
        <v>8</v>
      </c>
      <c r="C35">
        <f t="shared" ref="C35:L35" si="7">C20*$A20*C$9</f>
        <v>0</v>
      </c>
      <c r="D35">
        <f t="shared" si="7"/>
        <v>0</v>
      </c>
      <c r="E35">
        <f t="shared" si="7"/>
        <v>0</v>
      </c>
      <c r="F35">
        <f t="shared" si="7"/>
        <v>0</v>
      </c>
      <c r="G35">
        <f t="shared" si="7"/>
        <v>0</v>
      </c>
      <c r="H35">
        <f t="shared" si="7"/>
        <v>0</v>
      </c>
      <c r="I35">
        <f t="shared" si="7"/>
        <v>0</v>
      </c>
      <c r="J35">
        <f t="shared" si="7"/>
        <v>1E-8</v>
      </c>
      <c r="K35">
        <f t="shared" si="7"/>
        <v>0</v>
      </c>
      <c r="L35">
        <f t="shared" si="7"/>
        <v>0</v>
      </c>
      <c r="N35">
        <f>MDETERM($C$28:J35)</f>
        <v>3.4303800523272329E-48</v>
      </c>
    </row>
    <row r="36" spans="2:24" x14ac:dyDescent="0.2">
      <c r="B36" s="8">
        <v>9</v>
      </c>
      <c r="C36">
        <f t="shared" ref="C36:L36" si="8">C21*$A21*C$9</f>
        <v>0</v>
      </c>
      <c r="D36">
        <f t="shared" si="8"/>
        <v>0</v>
      </c>
      <c r="E36">
        <f t="shared" si="8"/>
        <v>0</v>
      </c>
      <c r="F36">
        <f t="shared" si="8"/>
        <v>0</v>
      </c>
      <c r="G36">
        <f t="shared" si="8"/>
        <v>0</v>
      </c>
      <c r="H36">
        <f t="shared" si="8"/>
        <v>0</v>
      </c>
      <c r="I36">
        <f t="shared" si="8"/>
        <v>0</v>
      </c>
      <c r="J36">
        <f t="shared" si="8"/>
        <v>0</v>
      </c>
      <c r="K36">
        <f t="shared" si="8"/>
        <v>1E-8</v>
      </c>
      <c r="L36">
        <f t="shared" si="8"/>
        <v>0</v>
      </c>
      <c r="N36">
        <f>MDETERM($C$28:K36)</f>
        <v>3.430380052327233E-56</v>
      </c>
    </row>
    <row r="37" spans="2:24" x14ac:dyDescent="0.2">
      <c r="B37" s="8">
        <v>10</v>
      </c>
      <c r="C37">
        <f t="shared" ref="C37:L37" si="9">C22*$A22*C$9</f>
        <v>0</v>
      </c>
      <c r="D37">
        <f t="shared" si="9"/>
        <v>0</v>
      </c>
      <c r="E37">
        <f t="shared" si="9"/>
        <v>0</v>
      </c>
      <c r="F37">
        <f t="shared" si="9"/>
        <v>0</v>
      </c>
      <c r="G37">
        <f t="shared" si="9"/>
        <v>0</v>
      </c>
      <c r="H37">
        <f t="shared" si="9"/>
        <v>0</v>
      </c>
      <c r="I37">
        <f t="shared" si="9"/>
        <v>0</v>
      </c>
      <c r="J37">
        <f t="shared" si="9"/>
        <v>0</v>
      </c>
      <c r="K37">
        <f t="shared" si="9"/>
        <v>0</v>
      </c>
      <c r="L37">
        <f t="shared" si="9"/>
        <v>1E-8</v>
      </c>
      <c r="N37">
        <f>MDETERM($C$28:L37)</f>
        <v>3.4303800523272331E-64</v>
      </c>
    </row>
    <row r="40" spans="2:24" x14ac:dyDescent="0.2">
      <c r="C40" t="s">
        <v>46</v>
      </c>
      <c r="O40" t="s">
        <v>46</v>
      </c>
    </row>
    <row r="41" spans="2:24" ht="13.5" thickBot="1" x14ac:dyDescent="0.25">
      <c r="C41" s="7">
        <v>1</v>
      </c>
      <c r="D41" s="7">
        <v>2</v>
      </c>
      <c r="E41" s="7">
        <v>3</v>
      </c>
      <c r="F41" s="7">
        <v>4</v>
      </c>
      <c r="G41" s="7">
        <v>5</v>
      </c>
      <c r="H41" s="7">
        <v>6</v>
      </c>
      <c r="I41" s="7">
        <v>7</v>
      </c>
      <c r="J41" s="7">
        <v>8</v>
      </c>
      <c r="K41" s="7">
        <v>9</v>
      </c>
      <c r="L41" s="7">
        <v>10</v>
      </c>
      <c r="N41" s="8">
        <v>1</v>
      </c>
      <c r="O41" s="7">
        <v>1</v>
      </c>
      <c r="P41" s="7">
        <v>2</v>
      </c>
      <c r="Q41" s="7">
        <v>3</v>
      </c>
      <c r="R41" s="7">
        <v>4</v>
      </c>
      <c r="S41" s="7">
        <v>5</v>
      </c>
      <c r="T41" s="7">
        <v>6</v>
      </c>
      <c r="U41" s="7">
        <v>7</v>
      </c>
      <c r="V41" s="7">
        <v>8</v>
      </c>
      <c r="W41" s="7">
        <v>9</v>
      </c>
      <c r="X41" s="7">
        <v>10</v>
      </c>
    </row>
    <row r="42" spans="2:24" x14ac:dyDescent="0.2">
      <c r="B42" s="8">
        <v>1</v>
      </c>
      <c r="C42">
        <f>N28</f>
        <v>1.7426928302136707E-4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N42" s="8">
        <v>2</v>
      </c>
      <c r="O42">
        <f>SQRT(C42)</f>
        <v>1.3201109158755072E-2</v>
      </c>
      <c r="P42">
        <f t="shared" ref="P42:X51" si="10">SQRT(D42)</f>
        <v>0</v>
      </c>
      <c r="Q42">
        <f t="shared" si="10"/>
        <v>0</v>
      </c>
      <c r="R42">
        <f t="shared" si="10"/>
        <v>0</v>
      </c>
      <c r="S42">
        <f t="shared" si="10"/>
        <v>0</v>
      </c>
      <c r="T42">
        <f t="shared" si="10"/>
        <v>0</v>
      </c>
      <c r="U42">
        <f t="shared" si="10"/>
        <v>0</v>
      </c>
      <c r="V42">
        <f t="shared" si="10"/>
        <v>0</v>
      </c>
      <c r="W42">
        <f t="shared" si="10"/>
        <v>0</v>
      </c>
      <c r="X42">
        <f t="shared" si="10"/>
        <v>0</v>
      </c>
    </row>
    <row r="43" spans="2:24" x14ac:dyDescent="0.2">
      <c r="B43" s="8">
        <v>2</v>
      </c>
      <c r="C43">
        <v>0</v>
      </c>
      <c r="D43">
        <f>$N29/$N28</f>
        <v>9.9940697081310991E-6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N43" s="8">
        <v>3</v>
      </c>
      <c r="O43">
        <f t="shared" ref="O43:O51" si="11">SQRT(C43)</f>
        <v>0</v>
      </c>
      <c r="P43">
        <f t="shared" si="10"/>
        <v>3.1613398596372234E-3</v>
      </c>
      <c r="Q43">
        <f t="shared" si="10"/>
        <v>0</v>
      </c>
      <c r="R43">
        <f t="shared" si="10"/>
        <v>0</v>
      </c>
      <c r="S43">
        <f t="shared" si="10"/>
        <v>0</v>
      </c>
      <c r="T43">
        <f t="shared" si="10"/>
        <v>0</v>
      </c>
      <c r="U43">
        <f t="shared" si="10"/>
        <v>0</v>
      </c>
      <c r="V43">
        <f t="shared" si="10"/>
        <v>0</v>
      </c>
      <c r="W43">
        <f t="shared" si="10"/>
        <v>0</v>
      </c>
      <c r="X43">
        <f t="shared" si="10"/>
        <v>0</v>
      </c>
    </row>
    <row r="44" spans="2:24" x14ac:dyDescent="0.2">
      <c r="B44" s="8">
        <v>3</v>
      </c>
      <c r="C44">
        <v>0</v>
      </c>
      <c r="D44">
        <v>0</v>
      </c>
      <c r="E44">
        <f>$N30/$N29</f>
        <v>9.8339605015160649E-4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N44" s="8">
        <v>4</v>
      </c>
      <c r="O44">
        <f t="shared" si="11"/>
        <v>0</v>
      </c>
      <c r="P44">
        <f t="shared" si="10"/>
        <v>0</v>
      </c>
      <c r="Q44">
        <f t="shared" si="10"/>
        <v>3.1359146196151551E-2</v>
      </c>
      <c r="R44">
        <f t="shared" si="10"/>
        <v>0</v>
      </c>
      <c r="S44">
        <f t="shared" si="10"/>
        <v>0</v>
      </c>
      <c r="T44">
        <f t="shared" si="10"/>
        <v>0</v>
      </c>
      <c r="U44">
        <f t="shared" si="10"/>
        <v>0</v>
      </c>
      <c r="V44">
        <f t="shared" si="10"/>
        <v>0</v>
      </c>
      <c r="W44">
        <f t="shared" si="10"/>
        <v>0</v>
      </c>
      <c r="X44">
        <f t="shared" si="10"/>
        <v>0</v>
      </c>
    </row>
    <row r="45" spans="2:24" x14ac:dyDescent="0.2">
      <c r="B45" s="8">
        <v>4</v>
      </c>
      <c r="C45">
        <v>0</v>
      </c>
      <c r="D45">
        <v>0</v>
      </c>
      <c r="E45">
        <v>0</v>
      </c>
      <c r="F45">
        <f>$N31/$N30</f>
        <v>2.0028598468290981E-4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N45" s="8">
        <v>5</v>
      </c>
      <c r="O45">
        <f t="shared" si="11"/>
        <v>0</v>
      </c>
      <c r="P45">
        <f t="shared" si="10"/>
        <v>0</v>
      </c>
      <c r="Q45">
        <f t="shared" si="10"/>
        <v>0</v>
      </c>
      <c r="R45">
        <f t="shared" si="10"/>
        <v>1.4152243097223486E-2</v>
      </c>
      <c r="S45">
        <f t="shared" si="10"/>
        <v>0</v>
      </c>
      <c r="T45">
        <f t="shared" si="10"/>
        <v>0</v>
      </c>
      <c r="U45">
        <f t="shared" si="10"/>
        <v>0</v>
      </c>
      <c r="V45">
        <f t="shared" si="10"/>
        <v>0</v>
      </c>
      <c r="W45">
        <f t="shared" si="10"/>
        <v>0</v>
      </c>
      <c r="X45">
        <f t="shared" si="10"/>
        <v>0</v>
      </c>
    </row>
    <row r="46" spans="2:24" x14ac:dyDescent="0.2">
      <c r="B46" s="8">
        <v>5</v>
      </c>
      <c r="C46">
        <v>0</v>
      </c>
      <c r="D46">
        <v>0</v>
      </c>
      <c r="E46">
        <v>0</v>
      </c>
      <c r="F46">
        <v>0</v>
      </c>
      <c r="G46">
        <f>$N32/$N31</f>
        <v>9.9999999999999986E-9</v>
      </c>
      <c r="H46">
        <v>0</v>
      </c>
      <c r="I46">
        <v>0</v>
      </c>
      <c r="J46">
        <v>0</v>
      </c>
      <c r="K46">
        <v>0</v>
      </c>
      <c r="L46">
        <v>0</v>
      </c>
      <c r="N46" s="8">
        <v>6</v>
      </c>
      <c r="O46">
        <f t="shared" si="11"/>
        <v>0</v>
      </c>
      <c r="P46">
        <f t="shared" si="10"/>
        <v>0</v>
      </c>
      <c r="Q46">
        <f t="shared" si="10"/>
        <v>0</v>
      </c>
      <c r="R46">
        <f t="shared" si="10"/>
        <v>0</v>
      </c>
      <c r="S46">
        <f t="shared" si="10"/>
        <v>9.9999999999999991E-5</v>
      </c>
      <c r="T46">
        <f t="shared" si="10"/>
        <v>0</v>
      </c>
      <c r="U46">
        <f t="shared" si="10"/>
        <v>0</v>
      </c>
      <c r="V46">
        <f t="shared" si="10"/>
        <v>0</v>
      </c>
      <c r="W46">
        <f t="shared" si="10"/>
        <v>0</v>
      </c>
      <c r="X46">
        <f t="shared" si="10"/>
        <v>0</v>
      </c>
    </row>
    <row r="47" spans="2:24" x14ac:dyDescent="0.2">
      <c r="B47" s="8">
        <v>6</v>
      </c>
      <c r="C47">
        <v>0</v>
      </c>
      <c r="D47">
        <v>0</v>
      </c>
      <c r="E47">
        <v>0</v>
      </c>
      <c r="F47">
        <v>0</v>
      </c>
      <c r="G47">
        <v>0</v>
      </c>
      <c r="H47">
        <f>$N33/$N32</f>
        <v>1E-8</v>
      </c>
      <c r="I47">
        <v>0</v>
      </c>
      <c r="J47">
        <v>0</v>
      </c>
      <c r="K47">
        <v>0</v>
      </c>
      <c r="L47">
        <v>0</v>
      </c>
      <c r="N47" s="8">
        <v>7</v>
      </c>
      <c r="O47">
        <f t="shared" si="11"/>
        <v>0</v>
      </c>
      <c r="P47">
        <f t="shared" si="10"/>
        <v>0</v>
      </c>
      <c r="Q47">
        <f t="shared" si="10"/>
        <v>0</v>
      </c>
      <c r="R47">
        <f t="shared" si="10"/>
        <v>0</v>
      </c>
      <c r="S47">
        <f t="shared" si="10"/>
        <v>0</v>
      </c>
      <c r="T47">
        <f t="shared" si="10"/>
        <v>1E-4</v>
      </c>
      <c r="U47">
        <f t="shared" si="10"/>
        <v>0</v>
      </c>
      <c r="V47">
        <f t="shared" si="10"/>
        <v>0</v>
      </c>
      <c r="W47">
        <f t="shared" si="10"/>
        <v>0</v>
      </c>
      <c r="X47">
        <f t="shared" si="10"/>
        <v>0</v>
      </c>
    </row>
    <row r="48" spans="2:24" x14ac:dyDescent="0.2">
      <c r="B48" s="8">
        <v>7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f>$N34/$N33</f>
        <v>1E-8</v>
      </c>
      <c r="J48">
        <v>0</v>
      </c>
      <c r="K48">
        <v>0</v>
      </c>
      <c r="L48">
        <v>0</v>
      </c>
      <c r="N48" s="8">
        <v>8</v>
      </c>
      <c r="O48">
        <f t="shared" si="11"/>
        <v>0</v>
      </c>
      <c r="P48">
        <f t="shared" si="10"/>
        <v>0</v>
      </c>
      <c r="Q48">
        <f t="shared" si="10"/>
        <v>0</v>
      </c>
      <c r="R48">
        <f t="shared" si="10"/>
        <v>0</v>
      </c>
      <c r="S48">
        <f t="shared" si="10"/>
        <v>0</v>
      </c>
      <c r="T48">
        <f t="shared" si="10"/>
        <v>0</v>
      </c>
      <c r="U48">
        <f t="shared" si="10"/>
        <v>1E-4</v>
      </c>
      <c r="V48">
        <f t="shared" si="10"/>
        <v>0</v>
      </c>
      <c r="W48">
        <f t="shared" si="10"/>
        <v>0</v>
      </c>
      <c r="X48">
        <f t="shared" si="10"/>
        <v>0</v>
      </c>
    </row>
    <row r="49" spans="2:24" x14ac:dyDescent="0.2">
      <c r="B49" s="8">
        <v>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f>$N35/$N34</f>
        <v>1E-8</v>
      </c>
      <c r="K49">
        <v>0</v>
      </c>
      <c r="L49">
        <v>0</v>
      </c>
      <c r="N49" s="8">
        <v>9</v>
      </c>
      <c r="O49">
        <f t="shared" si="11"/>
        <v>0</v>
      </c>
      <c r="P49">
        <f t="shared" si="10"/>
        <v>0</v>
      </c>
      <c r="Q49">
        <f t="shared" si="10"/>
        <v>0</v>
      </c>
      <c r="R49">
        <f t="shared" si="10"/>
        <v>0</v>
      </c>
      <c r="S49">
        <f t="shared" si="10"/>
        <v>0</v>
      </c>
      <c r="T49">
        <f t="shared" si="10"/>
        <v>0</v>
      </c>
      <c r="U49">
        <f t="shared" si="10"/>
        <v>0</v>
      </c>
      <c r="V49">
        <f t="shared" si="10"/>
        <v>1E-4</v>
      </c>
      <c r="W49">
        <f t="shared" si="10"/>
        <v>0</v>
      </c>
      <c r="X49">
        <f t="shared" si="10"/>
        <v>0</v>
      </c>
    </row>
    <row r="50" spans="2:24" x14ac:dyDescent="0.2">
      <c r="B50" s="8">
        <v>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f>$N36/$N35</f>
        <v>1E-8</v>
      </c>
      <c r="L50">
        <v>0</v>
      </c>
      <c r="N50" s="8">
        <v>10</v>
      </c>
      <c r="O50">
        <f t="shared" si="11"/>
        <v>0</v>
      </c>
      <c r="P50">
        <f t="shared" si="10"/>
        <v>0</v>
      </c>
      <c r="Q50">
        <f t="shared" si="10"/>
        <v>0</v>
      </c>
      <c r="R50">
        <f t="shared" si="10"/>
        <v>0</v>
      </c>
      <c r="S50">
        <f t="shared" si="10"/>
        <v>0</v>
      </c>
      <c r="T50">
        <f t="shared" si="10"/>
        <v>0</v>
      </c>
      <c r="U50">
        <f t="shared" si="10"/>
        <v>0</v>
      </c>
      <c r="V50">
        <f t="shared" si="10"/>
        <v>0</v>
      </c>
      <c r="W50">
        <f t="shared" si="10"/>
        <v>1E-4</v>
      </c>
      <c r="X50">
        <f t="shared" si="10"/>
        <v>0</v>
      </c>
    </row>
    <row r="51" spans="2:24" x14ac:dyDescent="0.2">
      <c r="B51" s="8">
        <v>10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>$N37/$N36</f>
        <v>1E-8</v>
      </c>
      <c r="O51">
        <f t="shared" si="11"/>
        <v>0</v>
      </c>
      <c r="P51">
        <f t="shared" si="10"/>
        <v>0</v>
      </c>
      <c r="Q51">
        <f t="shared" si="10"/>
        <v>0</v>
      </c>
      <c r="R51">
        <f t="shared" si="10"/>
        <v>0</v>
      </c>
      <c r="S51">
        <f t="shared" si="10"/>
        <v>0</v>
      </c>
      <c r="T51">
        <f t="shared" si="10"/>
        <v>0</v>
      </c>
      <c r="U51">
        <f t="shared" si="10"/>
        <v>0</v>
      </c>
      <c r="V51">
        <f t="shared" si="10"/>
        <v>0</v>
      </c>
      <c r="W51">
        <f t="shared" si="10"/>
        <v>0</v>
      </c>
      <c r="X51">
        <f t="shared" si="10"/>
        <v>1E-4</v>
      </c>
    </row>
    <row r="54" spans="2:24" x14ac:dyDescent="0.2">
      <c r="C54" t="s">
        <v>47</v>
      </c>
    </row>
    <row r="55" spans="2:24" ht="13.5" thickBot="1" x14ac:dyDescent="0.25">
      <c r="C55" s="7">
        <v>1</v>
      </c>
      <c r="D55" s="7">
        <v>2</v>
      </c>
      <c r="E55" s="7">
        <v>3</v>
      </c>
      <c r="F55" s="7">
        <v>4</v>
      </c>
      <c r="G55" s="7">
        <v>5</v>
      </c>
      <c r="H55" s="7">
        <v>6</v>
      </c>
      <c r="I55" s="7">
        <v>7</v>
      </c>
      <c r="J55" s="7">
        <v>8</v>
      </c>
      <c r="K55" s="7">
        <v>9</v>
      </c>
      <c r="L55" s="7">
        <v>10</v>
      </c>
    </row>
    <row r="56" spans="2:24" x14ac:dyDescent="0.2">
      <c r="B56" s="8">
        <v>1</v>
      </c>
      <c r="C56">
        <f>1/C42</f>
        <v>5738.2459069243459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2:24" x14ac:dyDescent="0.2">
      <c r="B57" s="8">
        <v>2</v>
      </c>
      <c r="C57">
        <v>0</v>
      </c>
      <c r="D57">
        <f>1/D43</f>
        <v>100059.3381079189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2:24" x14ac:dyDescent="0.2">
      <c r="B58" s="8">
        <v>3</v>
      </c>
      <c r="C58">
        <v>0</v>
      </c>
      <c r="D58">
        <v>0</v>
      </c>
      <c r="E58">
        <f>1/E44</f>
        <v>1016.8842958499108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2:24" x14ac:dyDescent="0.2">
      <c r="B59" s="8">
        <v>4</v>
      </c>
      <c r="C59">
        <v>0</v>
      </c>
      <c r="D59">
        <v>0</v>
      </c>
      <c r="E59">
        <v>0</v>
      </c>
      <c r="F59">
        <f>1/F45</f>
        <v>4992.8605917343002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2:24" x14ac:dyDescent="0.2">
      <c r="B60" s="8">
        <v>5</v>
      </c>
      <c r="C60">
        <v>0</v>
      </c>
      <c r="D60">
        <v>0</v>
      </c>
      <c r="E60">
        <v>0</v>
      </c>
      <c r="F60">
        <v>0</v>
      </c>
      <c r="G60">
        <f>1/G46</f>
        <v>100000000.00000001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2:24" x14ac:dyDescent="0.2">
      <c r="B61" s="8">
        <v>6</v>
      </c>
      <c r="C61">
        <v>0</v>
      </c>
      <c r="D61">
        <v>0</v>
      </c>
      <c r="E61">
        <v>0</v>
      </c>
      <c r="F61">
        <v>0</v>
      </c>
      <c r="G61">
        <v>0</v>
      </c>
      <c r="H61">
        <f>1/H47</f>
        <v>100000000</v>
      </c>
      <c r="I61">
        <v>0</v>
      </c>
      <c r="J61">
        <v>0</v>
      </c>
      <c r="K61">
        <v>0</v>
      </c>
      <c r="L61">
        <v>0</v>
      </c>
    </row>
    <row r="62" spans="2:24" x14ac:dyDescent="0.2">
      <c r="B62" s="8">
        <v>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f>1/I48</f>
        <v>100000000</v>
      </c>
      <c r="J62">
        <v>0</v>
      </c>
      <c r="K62">
        <v>0</v>
      </c>
      <c r="L62">
        <v>0</v>
      </c>
    </row>
    <row r="63" spans="2:24" x14ac:dyDescent="0.2">
      <c r="B63" s="8">
        <v>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f>1/J49</f>
        <v>100000000</v>
      </c>
      <c r="K63">
        <v>0</v>
      </c>
      <c r="L63">
        <v>0</v>
      </c>
    </row>
    <row r="64" spans="2:24" x14ac:dyDescent="0.2">
      <c r="B64" s="8">
        <v>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f>1/K50</f>
        <v>100000000</v>
      </c>
      <c r="L64">
        <v>0</v>
      </c>
    </row>
    <row r="65" spans="2:12" x14ac:dyDescent="0.2">
      <c r="B65" s="8">
        <v>10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>1/L51</f>
        <v>100000000</v>
      </c>
    </row>
    <row r="68" spans="2:12" x14ac:dyDescent="0.2">
      <c r="C68" t="s">
        <v>48</v>
      </c>
    </row>
    <row r="69" spans="2:12" ht="13.5" thickBot="1" x14ac:dyDescent="0.25">
      <c r="C69" s="7">
        <v>1</v>
      </c>
      <c r="D69" s="7">
        <v>2</v>
      </c>
      <c r="E69" s="7">
        <v>3</v>
      </c>
      <c r="F69" s="7">
        <v>4</v>
      </c>
      <c r="G69" s="7">
        <v>5</v>
      </c>
      <c r="H69" s="7">
        <v>6</v>
      </c>
      <c r="I69" s="7">
        <v>7</v>
      </c>
      <c r="J69" s="7">
        <v>8</v>
      </c>
      <c r="K69" s="7">
        <v>9</v>
      </c>
      <c r="L69" s="7">
        <v>10</v>
      </c>
    </row>
    <row r="70" spans="2:12" x14ac:dyDescent="0.2">
      <c r="B70" s="8">
        <v>1</v>
      </c>
      <c r="C70">
        <v>1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</row>
    <row r="71" spans="2:12" x14ac:dyDescent="0.2">
      <c r="B71" s="8">
        <v>2</v>
      </c>
      <c r="C71">
        <f>C29/C28</f>
        <v>0.97355314656289726</v>
      </c>
      <c r="D71">
        <v>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2:12" x14ac:dyDescent="0.2">
      <c r="B72" s="8">
        <v>3</v>
      </c>
      <c r="C72">
        <f>INDEX(MMULT($C$30:$D$30,MMULT(MINVERSE($C$84:$D$85),$C$56:$D$57)),1,1)</f>
        <v>-5.6497424428517222</v>
      </c>
      <c r="D72">
        <f>INDEX(MMULT($C$30:$D$30,MMULT(MINVERSE($C$84:$D$85),$C$56:$D$57)),1,2)</f>
        <v>1.4766933882660283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</row>
    <row r="73" spans="2:12" x14ac:dyDescent="0.2">
      <c r="B73" s="8">
        <v>4</v>
      </c>
      <c r="C73">
        <f>INDEX(MMULT($C$31:$E$31,MMULT(MINVERSE($C$84:$E$86),$C$56:$E$58)),1,1)</f>
        <v>-5.1971722184569487</v>
      </c>
      <c r="D73">
        <f>INDEX(MMULT($C$31:$E$31,MMULT(MINVERSE($C$84:$E$86),$C$56:$E$58)),1,2)</f>
        <v>-0.48995799130170781</v>
      </c>
      <c r="E73">
        <f>INDEX(MMULT($C$31:$E$31,MMULT(MINVERSE($C$84:$E$86),$C$56:$E$58)),1,3)</f>
        <v>0.8210824954737781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2:12" x14ac:dyDescent="0.2">
      <c r="B74" s="8">
        <v>5</v>
      </c>
      <c r="C74">
        <f>INDEX(MMULT($C$32:$F$32,MMULT(MINVERSE($C$84:$F$87),$C$56:$F$59)),1,1)</f>
        <v>0</v>
      </c>
      <c r="D74">
        <f>INDEX(MMULT($C$32:$F$32,MMULT(MINVERSE($C$84:$F$87),$C$56:$F$59)),1,2)</f>
        <v>0</v>
      </c>
      <c r="E74">
        <f>INDEX(MMULT($C$32:$F$32,MMULT(MINVERSE($C$84:$F$87),$C$56:$F$59)),1,3)</f>
        <v>0</v>
      </c>
      <c r="F74">
        <f>INDEX(MMULT($C$32:$F$32,MMULT(MINVERSE($C$84:$F$87),$C$56:$F$59)),1,4)</f>
        <v>0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2:12" x14ac:dyDescent="0.2">
      <c r="B75" s="8">
        <v>6</v>
      </c>
      <c r="C75">
        <f>INDEX(MMULT($C$33:$G$33,MMULT(MINVERSE($C$84:$G$88),$C$56:$G$60)),1,1)</f>
        <v>0</v>
      </c>
      <c r="D75">
        <f>INDEX(MMULT($C$33:$G$33,MMULT(MINVERSE($C$84:$G$88),$C$56:$G$60)),1,2)</f>
        <v>0</v>
      </c>
      <c r="E75">
        <f>INDEX(MMULT($C$33:$G$33,MMULT(MINVERSE($C$84:$G$88),$C$56:$G$60)),1,3)</f>
        <v>0</v>
      </c>
      <c r="F75">
        <f>INDEX(MMULT($C$33:$G$33,MMULT(MINVERSE($C$84:$G$88),$C$56:$G$60)),1,4)</f>
        <v>0</v>
      </c>
      <c r="G75">
        <f>INDEX(MMULT($C$33:$G$33,MMULT(MINVERSE($C$84:$G$88),$C$56:$G$60)),1,5)</f>
        <v>0</v>
      </c>
      <c r="H75">
        <v>1</v>
      </c>
      <c r="I75">
        <v>0</v>
      </c>
      <c r="J75">
        <v>0</v>
      </c>
      <c r="K75">
        <v>0</v>
      </c>
      <c r="L75">
        <v>0</v>
      </c>
    </row>
    <row r="76" spans="2:12" x14ac:dyDescent="0.2">
      <c r="B76" s="8">
        <v>7</v>
      </c>
      <c r="C76">
        <f>INDEX(MMULT($C$34:$H$34,MMULT(MINVERSE($C$84:$H$89),$C$56:$H$61)),1,1)</f>
        <v>0</v>
      </c>
      <c r="D76">
        <f>INDEX(MMULT($C$34:$H$34,MMULT(MINVERSE($C$84:$H$89),$C$56:$H$61)),1,2)</f>
        <v>0</v>
      </c>
      <c r="E76">
        <f>INDEX(MMULT($C$34:$H$34,MMULT(MINVERSE($C$84:$H$89),$C$56:$H$61)),1,3)</f>
        <v>0</v>
      </c>
      <c r="F76">
        <f>INDEX(MMULT($C$34:$H$34,MMULT(MINVERSE($C$84:$H$89),$C$56:$H$61)),1,4)</f>
        <v>0</v>
      </c>
      <c r="G76">
        <f>INDEX(MMULT($C$34:$H$34,MMULT(MINVERSE($C$84:$H$89),$C$56:$H$61)),1,5)</f>
        <v>0</v>
      </c>
      <c r="H76">
        <f>INDEX(MMULT($C$34:$H$34,MMULT(MINVERSE($C$84:$H$89),$C$56:$H$61)),1,6)</f>
        <v>0</v>
      </c>
      <c r="I76">
        <v>1</v>
      </c>
      <c r="J76">
        <v>0</v>
      </c>
      <c r="K76">
        <v>0</v>
      </c>
      <c r="L76">
        <v>0</v>
      </c>
    </row>
    <row r="77" spans="2:12" x14ac:dyDescent="0.2">
      <c r="B77" s="8">
        <v>8</v>
      </c>
      <c r="C77">
        <f>INDEX(MMULT($C$35:$I$35,MMULT(MINVERSE($C$84:$I$90),$C$56:$I$62)),1,1)</f>
        <v>0</v>
      </c>
      <c r="D77">
        <f>INDEX(MMULT($C$35:$I$35,MMULT(MINVERSE($C$84:$I$90),$C$56:$I$62)),1,2)</f>
        <v>0</v>
      </c>
      <c r="E77">
        <f>INDEX(MMULT($C$35:$I$35,MMULT(MINVERSE($C$84:$I$90),$C$56:$I$62)),1,3)</f>
        <v>0</v>
      </c>
      <c r="F77">
        <f>INDEX(MMULT($C$35:$I$35,MMULT(MINVERSE($C$84:$I$90),$C$56:$I$62)),1,4)</f>
        <v>0</v>
      </c>
      <c r="G77">
        <f>INDEX(MMULT($C$35:$I$35,MMULT(MINVERSE($C$84:$I$90),$C$56:$I$62)),1,5)</f>
        <v>0</v>
      </c>
      <c r="H77">
        <f>INDEX(MMULT($C$35:$I$35,MMULT(MINVERSE($C$84:$I$90),$C$56:$I$62)),1,6)</f>
        <v>0</v>
      </c>
      <c r="I77">
        <f>INDEX(MMULT($C$35:$I$35,MMULT(MINVERSE($C$84:$I$90),$C$56:$I$62)),1,7)</f>
        <v>0</v>
      </c>
      <c r="J77">
        <v>1</v>
      </c>
      <c r="K77">
        <v>0</v>
      </c>
      <c r="L77">
        <v>0</v>
      </c>
    </row>
    <row r="78" spans="2:12" x14ac:dyDescent="0.2">
      <c r="B78" s="8">
        <v>9</v>
      </c>
      <c r="C78">
        <f>INDEX(MMULT($C$36:$J$36,MMULT(MINVERSE($C$84:$J$91),$C$56:$J$63)),1,1)</f>
        <v>0</v>
      </c>
      <c r="D78">
        <f>INDEX(MMULT($C$36:$J$36,MMULT(MINVERSE($C$84:$J$91),$C$56:$J$63)),1,2)</f>
        <v>0</v>
      </c>
      <c r="E78">
        <f>INDEX(MMULT($C$36:$J$36,MMULT(MINVERSE($C$84:$J$91),$C$56:$J$63)),1,3)</f>
        <v>0</v>
      </c>
      <c r="F78">
        <f>INDEX(MMULT($C$36:$J$36,MMULT(MINVERSE($C$84:$J$91),$C$56:$J$63)),1,4)</f>
        <v>0</v>
      </c>
      <c r="G78">
        <f>INDEX(MMULT($C$36:$J$36,MMULT(MINVERSE($C$84:$J$91),$C$56:$J$63)),1,5)</f>
        <v>0</v>
      </c>
      <c r="H78">
        <f>INDEX(MMULT($C$36:$J$36,MMULT(MINVERSE($C$84:$J$91),$C$56:$J$63)),1,6)</f>
        <v>0</v>
      </c>
      <c r="I78">
        <f>INDEX(MMULT($C$36:$J$36,MMULT(MINVERSE($C$84:$J$91),$C$56:$J$63)),1,7)</f>
        <v>0</v>
      </c>
      <c r="J78">
        <f>INDEX(MMULT($C$36:$J$36,MMULT(MINVERSE($C$84:$J$91),$C$56:$J$63)),1,8)</f>
        <v>0</v>
      </c>
      <c r="K78">
        <v>1</v>
      </c>
      <c r="L78">
        <v>0</v>
      </c>
    </row>
    <row r="79" spans="2:12" x14ac:dyDescent="0.2">
      <c r="B79" s="8">
        <v>10</v>
      </c>
      <c r="C79">
        <f>INDEX(MMULT($C$37:$K$37,MMULT(MINVERSE($C$84:$K$92),$C$56:$K$64)),1,1)</f>
        <v>0</v>
      </c>
      <c r="D79">
        <f>INDEX(MMULT($C$37:$K$37,MMULT(MINVERSE($C$84:$K$92),$C$56:$K$64)),1,2)</f>
        <v>0</v>
      </c>
      <c r="E79">
        <f>INDEX(MMULT($C$37:$K$37,MMULT(MINVERSE($C$84:$K$92),$C$56:$K$64)),1,3)</f>
        <v>0</v>
      </c>
      <c r="F79">
        <f>INDEX(MMULT($C$37:$K$37,MMULT(MINVERSE($C$84:$K$92),$C$56:$K$64)),1,4)</f>
        <v>0</v>
      </c>
      <c r="G79">
        <f>INDEX(MMULT($C$37:$K$37,MMULT(MINVERSE($C$84:$K$92),$C$56:$K$64)),1,5)</f>
        <v>0</v>
      </c>
      <c r="H79">
        <f>INDEX(MMULT($C$37:$K$37,MMULT(MINVERSE($C$84:$K$92),$C$56:$K$64)),1,6)</f>
        <v>0</v>
      </c>
      <c r="I79">
        <f>INDEX(MMULT($C$37:$K$37,MMULT(MINVERSE($C$84:$K$92),$C$56:$K$64)),1,7)</f>
        <v>0</v>
      </c>
      <c r="J79">
        <f>INDEX(MMULT($C$37:$K$37,MMULT(MINVERSE($C$84:$K$92),$C$56:$K$64)),1,8)</f>
        <v>0</v>
      </c>
      <c r="K79">
        <f>INDEX(MMULT($C$37:$K$37,MMULT(MINVERSE($C$84:$K$92),$C$56:$K$64)),1,9)</f>
        <v>0</v>
      </c>
      <c r="L79">
        <v>1</v>
      </c>
    </row>
    <row r="82" spans="2:12" x14ac:dyDescent="0.2">
      <c r="C82" t="s">
        <v>49</v>
      </c>
    </row>
    <row r="83" spans="2:12" ht="13.5" thickBot="1" x14ac:dyDescent="0.25">
      <c r="C83" s="7">
        <v>1</v>
      </c>
      <c r="D83" s="7">
        <v>2</v>
      </c>
      <c r="E83" s="7">
        <v>3</v>
      </c>
      <c r="F83" s="7">
        <v>4</v>
      </c>
      <c r="G83" s="7">
        <v>5</v>
      </c>
      <c r="H83" s="7">
        <v>6</v>
      </c>
      <c r="I83" s="7">
        <v>7</v>
      </c>
      <c r="J83" s="7">
        <v>8</v>
      </c>
      <c r="K83" s="7">
        <v>9</v>
      </c>
      <c r="L83" s="7">
        <v>10</v>
      </c>
    </row>
    <row r="84" spans="2:12" x14ac:dyDescent="0.2">
      <c r="B84" s="8">
        <v>1</v>
      </c>
      <c r="C84">
        <f>INDEX($C$70:$D$71,C$83,$B84)</f>
        <v>1</v>
      </c>
      <c r="D84">
        <f>INDEX($C$70:$D$71,D$83,$B84)</f>
        <v>0.97355314656289726</v>
      </c>
      <c r="E84">
        <f t="shared" ref="D84:E86" si="12">INDEX($C$70:$E$72,E$83,$B84)</f>
        <v>-5.6497424428517222</v>
      </c>
      <c r="F84">
        <f>INDEX($C$70:$F$73,F$83,$B84)</f>
        <v>-5.1971722184569487</v>
      </c>
      <c r="G84">
        <f>INDEX($C$70:$G$74,G$83,$B84)</f>
        <v>0</v>
      </c>
      <c r="H84">
        <f t="shared" ref="H84:H89" si="13">INDEX($C$70:$H$75,H$83,$B84)</f>
        <v>0</v>
      </c>
      <c r="I84">
        <f t="shared" ref="I84:I89" si="14">INDEX($C$70:$I$76,I$83,$B84)</f>
        <v>0</v>
      </c>
      <c r="J84">
        <f t="shared" ref="J84:J90" si="15">INDEX($C$70:$J$77,J$83,$B84)</f>
        <v>0</v>
      </c>
      <c r="K84">
        <f t="shared" ref="K84:K91" si="16">INDEX($C$70:$K$78,K$83,$B84)</f>
        <v>0</v>
      </c>
      <c r="L84">
        <f t="shared" ref="L84:L92" si="17">INDEX($C$70:$L$79,L$83,$B84)</f>
        <v>0</v>
      </c>
    </row>
    <row r="85" spans="2:12" x14ac:dyDescent="0.2">
      <c r="B85" s="8">
        <v>2</v>
      </c>
      <c r="C85">
        <f>INDEX($C$70:$D$71,C$83,$B85)</f>
        <v>0</v>
      </c>
      <c r="D85">
        <f>INDEX($C$70:$D$71,D$83,$B85)</f>
        <v>1</v>
      </c>
      <c r="E85">
        <f t="shared" si="12"/>
        <v>1.4766933882660283</v>
      </c>
      <c r="F85">
        <f>INDEX($C$70:$F$73,F$83,$B85)</f>
        <v>-0.48995799130170781</v>
      </c>
      <c r="G85">
        <f>INDEX($C$70:$G$74,G$83,$B85)</f>
        <v>0</v>
      </c>
      <c r="H85">
        <f t="shared" si="13"/>
        <v>0</v>
      </c>
      <c r="I85">
        <f t="shared" si="14"/>
        <v>0</v>
      </c>
      <c r="J85">
        <f t="shared" si="15"/>
        <v>0</v>
      </c>
      <c r="K85">
        <f t="shared" si="16"/>
        <v>0</v>
      </c>
      <c r="L85">
        <f t="shared" si="17"/>
        <v>0</v>
      </c>
    </row>
    <row r="86" spans="2:12" x14ac:dyDescent="0.2">
      <c r="B86" s="8">
        <v>3</v>
      </c>
      <c r="C86">
        <f>INDEX($C$70:$E$72,C$83,$B86)</f>
        <v>0</v>
      </c>
      <c r="D86">
        <f t="shared" si="12"/>
        <v>0</v>
      </c>
      <c r="E86">
        <f t="shared" si="12"/>
        <v>1</v>
      </c>
      <c r="F86">
        <f>INDEX($C$70:$F$73,F$83,$B86)</f>
        <v>0.8210824954737781</v>
      </c>
      <c r="G86">
        <f>INDEX($C$70:$G$74,G$83,$B86)</f>
        <v>0</v>
      </c>
      <c r="H86">
        <f t="shared" si="13"/>
        <v>0</v>
      </c>
      <c r="I86">
        <f t="shared" si="14"/>
        <v>0</v>
      </c>
      <c r="J86">
        <f t="shared" si="15"/>
        <v>0</v>
      </c>
      <c r="K86">
        <f t="shared" si="16"/>
        <v>0</v>
      </c>
      <c r="L86">
        <f t="shared" si="17"/>
        <v>0</v>
      </c>
    </row>
    <row r="87" spans="2:12" x14ac:dyDescent="0.2">
      <c r="B87" s="8">
        <v>4</v>
      </c>
      <c r="C87">
        <f>INDEX($C$70:$F$73,C$83,$B87)</f>
        <v>0</v>
      </c>
      <c r="D87">
        <f>INDEX($C$70:$F$73,D$83,$B87)</f>
        <v>0</v>
      </c>
      <c r="E87">
        <f>INDEX($C$70:$F$73,E$83,$B87)</f>
        <v>0</v>
      </c>
      <c r="F87">
        <f>INDEX($C$70:$F$73,F$83,$B87)</f>
        <v>1</v>
      </c>
      <c r="G87">
        <f>INDEX($C$70:$G$74,G$83,$B87)</f>
        <v>0</v>
      </c>
      <c r="H87">
        <f t="shared" si="13"/>
        <v>0</v>
      </c>
      <c r="I87">
        <f t="shared" si="14"/>
        <v>0</v>
      </c>
      <c r="J87">
        <f t="shared" si="15"/>
        <v>0</v>
      </c>
      <c r="K87">
        <f t="shared" si="16"/>
        <v>0</v>
      </c>
      <c r="L87">
        <f t="shared" si="17"/>
        <v>0</v>
      </c>
    </row>
    <row r="88" spans="2:12" x14ac:dyDescent="0.2">
      <c r="B88" s="8">
        <v>5</v>
      </c>
      <c r="C88">
        <f>INDEX($C$70:$G$74,C$83,$B88)</f>
        <v>0</v>
      </c>
      <c r="D88">
        <f>INDEX($C$70:$G$74,D$83,$B88)</f>
        <v>0</v>
      </c>
      <c r="E88">
        <f>INDEX($C$70:$G$74,E$83,$B88)</f>
        <v>0</v>
      </c>
      <c r="F88">
        <f>INDEX($C$70:$G$74,F$83,$B88)</f>
        <v>0</v>
      </c>
      <c r="G88">
        <f>INDEX($C$70:$G$74,G$83,$B88)</f>
        <v>1</v>
      </c>
      <c r="H88">
        <f t="shared" si="13"/>
        <v>0</v>
      </c>
      <c r="I88">
        <f t="shared" si="14"/>
        <v>0</v>
      </c>
      <c r="J88">
        <f t="shared" si="15"/>
        <v>0</v>
      </c>
      <c r="K88">
        <f t="shared" si="16"/>
        <v>0</v>
      </c>
      <c r="L88">
        <f t="shared" si="17"/>
        <v>0</v>
      </c>
    </row>
    <row r="89" spans="2:12" x14ac:dyDescent="0.2">
      <c r="B89" s="8">
        <v>6</v>
      </c>
      <c r="C89">
        <f>INDEX($C$70:$H$75,C$83,$B89)</f>
        <v>0</v>
      </c>
      <c r="D89">
        <f>INDEX($C$70:$H$75,D$83,$B89)</f>
        <v>0</v>
      </c>
      <c r="E89">
        <f>INDEX($C$70:$H$75,E$83,$B89)</f>
        <v>0</v>
      </c>
      <c r="F89">
        <f>INDEX($C$70:$H$75,F$83,$B89)</f>
        <v>0</v>
      </c>
      <c r="G89">
        <f>INDEX($C$70:$H$75,G$83,$B89)</f>
        <v>0</v>
      </c>
      <c r="H89">
        <f t="shared" si="13"/>
        <v>1</v>
      </c>
      <c r="I89">
        <f t="shared" si="14"/>
        <v>0</v>
      </c>
      <c r="J89">
        <f t="shared" si="15"/>
        <v>0</v>
      </c>
      <c r="K89">
        <f t="shared" si="16"/>
        <v>0</v>
      </c>
      <c r="L89">
        <f t="shared" si="17"/>
        <v>0</v>
      </c>
    </row>
    <row r="90" spans="2:12" x14ac:dyDescent="0.2">
      <c r="B90" s="8">
        <v>7</v>
      </c>
      <c r="C90">
        <f t="shared" ref="C90:H90" si="18">INDEX($C$70:$I$76,C$83,$B90)</f>
        <v>0</v>
      </c>
      <c r="D90">
        <f t="shared" si="18"/>
        <v>0</v>
      </c>
      <c r="E90">
        <f t="shared" si="18"/>
        <v>0</v>
      </c>
      <c r="F90">
        <f t="shared" si="18"/>
        <v>0</v>
      </c>
      <c r="G90">
        <f t="shared" si="18"/>
        <v>0</v>
      </c>
      <c r="H90">
        <f t="shared" si="18"/>
        <v>0</v>
      </c>
      <c r="I90">
        <f>INDEX($C$70:$I$76,I$83,$B90)</f>
        <v>1</v>
      </c>
      <c r="J90">
        <f t="shared" si="15"/>
        <v>0</v>
      </c>
      <c r="K90">
        <f t="shared" si="16"/>
        <v>0</v>
      </c>
      <c r="L90">
        <f t="shared" si="17"/>
        <v>0</v>
      </c>
    </row>
    <row r="91" spans="2:12" x14ac:dyDescent="0.2">
      <c r="B91" s="8">
        <v>8</v>
      </c>
      <c r="C91">
        <f t="shared" ref="C91:I91" si="19">INDEX($C$70:$J$77,C$83,$B91)</f>
        <v>0</v>
      </c>
      <c r="D91">
        <f t="shared" si="19"/>
        <v>0</v>
      </c>
      <c r="E91">
        <f t="shared" si="19"/>
        <v>0</v>
      </c>
      <c r="F91">
        <f t="shared" si="19"/>
        <v>0</v>
      </c>
      <c r="G91">
        <f t="shared" si="19"/>
        <v>0</v>
      </c>
      <c r="H91">
        <f t="shared" si="19"/>
        <v>0</v>
      </c>
      <c r="I91">
        <f t="shared" si="19"/>
        <v>0</v>
      </c>
      <c r="J91">
        <f>INDEX($C$70:$J$77,J$83,$B91)</f>
        <v>1</v>
      </c>
      <c r="K91">
        <f t="shared" si="16"/>
        <v>0</v>
      </c>
      <c r="L91">
        <f t="shared" si="17"/>
        <v>0</v>
      </c>
    </row>
    <row r="92" spans="2:12" x14ac:dyDescent="0.2">
      <c r="B92" s="8">
        <v>9</v>
      </c>
      <c r="C92">
        <f t="shared" ref="C92:J92" si="20">INDEX($C$70:$K$78,C$83,$B92)</f>
        <v>0</v>
      </c>
      <c r="D92">
        <f t="shared" si="20"/>
        <v>0</v>
      </c>
      <c r="E92">
        <f t="shared" si="20"/>
        <v>0</v>
      </c>
      <c r="F92">
        <f t="shared" si="20"/>
        <v>0</v>
      </c>
      <c r="G92">
        <f t="shared" si="20"/>
        <v>0</v>
      </c>
      <c r="H92">
        <f t="shared" si="20"/>
        <v>0</v>
      </c>
      <c r="I92">
        <f t="shared" si="20"/>
        <v>0</v>
      </c>
      <c r="J92">
        <f t="shared" si="20"/>
        <v>0</v>
      </c>
      <c r="K92">
        <f>INDEX($C$70:$K$78,K$83,$B92)</f>
        <v>1</v>
      </c>
      <c r="L92">
        <f t="shared" si="17"/>
        <v>0</v>
      </c>
    </row>
    <row r="93" spans="2:12" x14ac:dyDescent="0.2">
      <c r="B93" s="8">
        <v>10</v>
      </c>
      <c r="C93">
        <f t="shared" ref="C93:K93" si="21">INDEX($C$70:$L$79,C$83,$B93)</f>
        <v>0</v>
      </c>
      <c r="D93">
        <f t="shared" si="21"/>
        <v>0</v>
      </c>
      <c r="E93">
        <f t="shared" si="21"/>
        <v>0</v>
      </c>
      <c r="F93">
        <f t="shared" si="21"/>
        <v>0</v>
      </c>
      <c r="G93">
        <f t="shared" si="21"/>
        <v>0</v>
      </c>
      <c r="H93">
        <f t="shared" si="21"/>
        <v>0</v>
      </c>
      <c r="I93">
        <f t="shared" si="21"/>
        <v>0</v>
      </c>
      <c r="J93">
        <f t="shared" si="21"/>
        <v>0</v>
      </c>
      <c r="K93">
        <f t="shared" si="21"/>
        <v>0</v>
      </c>
      <c r="L93">
        <f>INDEX($C$70:$L$79,L$83,$B93)</f>
        <v>1</v>
      </c>
    </row>
    <row r="96" spans="2:12" x14ac:dyDescent="0.2">
      <c r="C96" t="s">
        <v>50</v>
      </c>
    </row>
    <row r="97" spans="2:12" ht="13.5" thickBot="1" x14ac:dyDescent="0.25">
      <c r="C97" s="7">
        <v>1</v>
      </c>
      <c r="D97" s="7">
        <v>2</v>
      </c>
      <c r="E97" s="7">
        <v>3</v>
      </c>
      <c r="F97" s="7">
        <v>4</v>
      </c>
      <c r="G97" s="7">
        <v>5</v>
      </c>
      <c r="H97" s="7">
        <v>6</v>
      </c>
      <c r="I97" s="7">
        <v>7</v>
      </c>
      <c r="J97" s="7">
        <v>8</v>
      </c>
      <c r="K97" s="7">
        <v>9</v>
      </c>
      <c r="L97" s="7">
        <v>10</v>
      </c>
    </row>
    <row r="98" spans="2:12" x14ac:dyDescent="0.2">
      <c r="B98" s="8">
        <v>1</v>
      </c>
      <c r="C98">
        <f>INDEX(MMULT(MMULT($C$70:$C$70,$C$42:$C$42),$C$84:$C$84),$B98,C$97)</f>
        <v>1.7426928302136707E-4</v>
      </c>
      <c r="D98">
        <f>INDEX(MMULT(MMULT($C$70:$D$71,$C$42:$D$43),$C$84:$D$85),$B98,D$97)</f>
        <v>1.6966040883471199E-4</v>
      </c>
      <c r="E98">
        <f>INDEX(MMULT(MMULT($C$70:$E$72,$C$42:$E$44),$C$84:$E$86),$B98,E$97)</f>
        <v>-9.8457656477115652E-4</v>
      </c>
      <c r="F98">
        <f>INDEX(MMULT(MMULT($C$70:$F$73,$C$42:$F$45),$C$84:$F$87),$B98,F$97)</f>
        <v>-9.0570747624906011E-4</v>
      </c>
      <c r="G98">
        <f>INDEX(MMULT(MMULT($C$70:$G$74,$C$42:$G$46),$C$84:$G$88),$B98,G$97)</f>
        <v>0</v>
      </c>
      <c r="H98">
        <f t="shared" ref="H98:H103" si="22">INDEX(MMULT(MMULT($C$70:$H$75,$C$42:$H$47),$C$84:$H$89),$B98,H$97)</f>
        <v>0</v>
      </c>
      <c r="I98">
        <f t="shared" ref="I98:I103" si="23">INDEX(MMULT(MMULT($C$70:$I$76,$C$42:$I$48),$C$84:$I$90),$B98,I$97)</f>
        <v>0</v>
      </c>
      <c r="J98">
        <f>INDEX(MMULT(MMULT($C$70:$J$77,$C$42:$J$49),$C$84:$J$91),$B98,J$97)</f>
        <v>0</v>
      </c>
      <c r="K98">
        <f>INDEX(MMULT(MMULT($C$70:$K$78,$C$42:$K$50),$C$84:$K$92),$B98,K$97)</f>
        <v>0</v>
      </c>
      <c r="L98">
        <f t="shared" ref="L98:L107" si="24">INDEX(MMULT(MMULT($C$70:$L$79,$C$42:$L$51),$C$84:$L$93),$B98,L$97)</f>
        <v>0</v>
      </c>
    </row>
    <row r="99" spans="2:12" x14ac:dyDescent="0.2">
      <c r="B99" s="8">
        <v>2</v>
      </c>
      <c r="C99">
        <f>INDEX(MMULT(MMULT($C$70:$D$71,$C$42:$D$43),$C$84:$D$85),$B99,C$97)</f>
        <v>1.6966040883471199E-4</v>
      </c>
      <c r="D99">
        <f>INDEX(MMULT(MMULT($C$70:$D$71,$C$42:$D$43),$C$84:$D$85),$B99,D$97)</f>
        <v>1.7516749457631252E-4</v>
      </c>
      <c r="E99">
        <f>INDEX(MMULT(MMULT($C$70:$E$72,$C$42:$E$44),$C$84:$E$86),$B99,E$97)</f>
        <v>-9.4377943600518059E-4</v>
      </c>
      <c r="F99">
        <f>INDEX(MMULT(MMULT($C$70:$F$73,$C$42:$F$45),$C$84:$F$87),$B99,F$97)</f>
        <v>-8.8665103768693812E-4</v>
      </c>
      <c r="G99">
        <f>INDEX(MMULT(MMULT($C$70:$G$74,$C$42:$G$46),$C$84:$G$88),$B99,G$97)</f>
        <v>0</v>
      </c>
      <c r="H99">
        <f t="shared" si="22"/>
        <v>0</v>
      </c>
      <c r="I99">
        <f t="shared" si="23"/>
        <v>0</v>
      </c>
      <c r="J99">
        <f t="shared" ref="J99:J104" si="25">INDEX(MMULT(MMULT($C$70:$J$77,$C$42:$J$49),$C$84:$J$91),$B99,J$97)</f>
        <v>0</v>
      </c>
      <c r="K99">
        <f t="shared" ref="K99:K105" si="26">INDEX(MMULT(MMULT($C$70:$K$78,$C$42:$K$50),$C$84:$K$92),$B99,K$97)</f>
        <v>0</v>
      </c>
      <c r="L99">
        <f t="shared" si="24"/>
        <v>0</v>
      </c>
    </row>
    <row r="100" spans="2:12" x14ac:dyDescent="0.2">
      <c r="B100" s="8">
        <v>3</v>
      </c>
      <c r="C100">
        <f>INDEX(MMULT(MMULT($C$70:$E$72,$C$42:$E$44),$C$84:$E$86),$B100,C$97)</f>
        <v>-9.8457656477115652E-4</v>
      </c>
      <c r="D100">
        <f>INDEX(MMULT(MMULT($C$70:$E$72,$C$42:$E$44),$C$84:$E$86),$B100,D$97)</f>
        <v>-9.4377943600518069E-4</v>
      </c>
      <c r="E100">
        <f>INDEX(MMULT(MMULT($C$70:$E$72,$C$42:$E$44),$C$84:$E$86),$B100,E$97)</f>
        <v>6.5677933582728443E-3</v>
      </c>
      <c r="F100">
        <f>INDEX(MMULT(MMULT($C$70:$F$73,$C$42:$F$45),$C$84:$F$87),$B100,F$97)</f>
        <v>5.9172323656784265E-3</v>
      </c>
      <c r="G100">
        <f>INDEX(MMULT(MMULT($C$70:$G$74,$C$42:$G$46),$C$84:$G$88),$B100,G$97)</f>
        <v>0</v>
      </c>
      <c r="H100">
        <f t="shared" si="22"/>
        <v>0</v>
      </c>
      <c r="I100">
        <f t="shared" si="23"/>
        <v>0</v>
      </c>
      <c r="J100">
        <f t="shared" si="25"/>
        <v>0</v>
      </c>
      <c r="K100">
        <f t="shared" si="26"/>
        <v>0</v>
      </c>
      <c r="L100">
        <f t="shared" si="24"/>
        <v>0</v>
      </c>
    </row>
    <row r="101" spans="2:12" x14ac:dyDescent="0.2">
      <c r="B101" s="8">
        <v>4</v>
      </c>
      <c r="C101">
        <f>INDEX(MMULT(MMULT($C$70:$F$73,$C$42:$F$45),$C$84:$F$87),$B101,C$97)</f>
        <v>-9.0570747624906011E-4</v>
      </c>
      <c r="D101">
        <f>INDEX(MMULT(MMULT($C$70:$F$73,$C$42:$F$45),$C$84:$F$87),$B101,D$97)</f>
        <v>-8.8665103768693822E-4</v>
      </c>
      <c r="E101">
        <f>INDEX(MMULT(MMULT($C$70:$F$73,$C$42:$F$45),$C$84:$F$87),$B101,E$97)</f>
        <v>5.9172323656784265E-3</v>
      </c>
      <c r="F101">
        <f>INDEX(MMULT(MMULT($C$70:$F$73,$C$42:$F$45),$C$84:$F$87),$B101,F$97)</f>
        <v>5.5727853551767615E-3</v>
      </c>
      <c r="G101">
        <f>INDEX(MMULT(MMULT($C$70:$G$74,$C$42:$G$46),$C$84:$G$88),$B101,G$97)</f>
        <v>0</v>
      </c>
      <c r="H101">
        <f t="shared" si="22"/>
        <v>0</v>
      </c>
      <c r="I101">
        <f t="shared" si="23"/>
        <v>0</v>
      </c>
      <c r="J101">
        <f t="shared" si="25"/>
        <v>0</v>
      </c>
      <c r="K101">
        <f t="shared" si="26"/>
        <v>0</v>
      </c>
      <c r="L101">
        <f t="shared" si="24"/>
        <v>0</v>
      </c>
    </row>
    <row r="102" spans="2:12" x14ac:dyDescent="0.2">
      <c r="B102" s="8">
        <v>5</v>
      </c>
      <c r="C102">
        <f>INDEX(MMULT(MMULT($C$70:$G$74,$C$42:$G$46),$C$84:$G$88),$B102,C$97)</f>
        <v>0</v>
      </c>
      <c r="D102">
        <f>INDEX(MMULT(MMULT($C$70:$G$74,$C$42:$G$46),$C$84:$G$88),$B102,D$97)</f>
        <v>0</v>
      </c>
      <c r="E102">
        <f>INDEX(MMULT(MMULT($C$70:$G$74,$C$42:$G$46),$C$84:$G$88),$B102,E$97)</f>
        <v>0</v>
      </c>
      <c r="F102">
        <f>INDEX(MMULT(MMULT($C$70:$G$74,$C$42:$G$46),$C$84:$G$88),$B102,F$97)</f>
        <v>0</v>
      </c>
      <c r="G102">
        <f>INDEX(MMULT(MMULT($C$70:$G$74,$C$42:$G$46),$C$84:$G$88),$B102,G$97)</f>
        <v>9.9999999999999986E-9</v>
      </c>
      <c r="H102">
        <f t="shared" si="22"/>
        <v>0</v>
      </c>
      <c r="I102">
        <f t="shared" si="23"/>
        <v>0</v>
      </c>
      <c r="J102">
        <f t="shared" si="25"/>
        <v>0</v>
      </c>
      <c r="K102">
        <f t="shared" si="26"/>
        <v>0</v>
      </c>
      <c r="L102">
        <f t="shared" si="24"/>
        <v>0</v>
      </c>
    </row>
    <row r="103" spans="2:12" x14ac:dyDescent="0.2">
      <c r="B103" s="8">
        <v>6</v>
      </c>
      <c r="C103">
        <f>INDEX(MMULT(MMULT($C$70:$H$75,$C$42:$H$47),$C$84:$H$89),$B103,C$97)</f>
        <v>0</v>
      </c>
      <c r="D103">
        <f>INDEX(MMULT(MMULT($C$70:$H$75,$C$42:$H$47),$C$84:$H$89),$B103,D$97)</f>
        <v>0</v>
      </c>
      <c r="E103">
        <f>INDEX(MMULT(MMULT($C$70:$H$75,$C$42:$H$47),$C$84:$H$89),$B103,E$97)</f>
        <v>0</v>
      </c>
      <c r="F103">
        <f>INDEX(MMULT(MMULT($C$70:$H$75,$C$42:$H$47),$C$84:$H$89),$B103,F$97)</f>
        <v>0</v>
      </c>
      <c r="G103">
        <f>INDEX(MMULT(MMULT($C$70:$H$75,$C$42:$H$47),$C$84:$H$89),$B103,G$97)</f>
        <v>0</v>
      </c>
      <c r="H103">
        <f t="shared" si="22"/>
        <v>1E-8</v>
      </c>
      <c r="I103">
        <f t="shared" si="23"/>
        <v>0</v>
      </c>
      <c r="J103">
        <f t="shared" si="25"/>
        <v>0</v>
      </c>
      <c r="K103">
        <f t="shared" si="26"/>
        <v>0</v>
      </c>
      <c r="L103">
        <f t="shared" si="24"/>
        <v>0</v>
      </c>
    </row>
    <row r="104" spans="2:12" x14ac:dyDescent="0.2">
      <c r="B104" s="8">
        <v>7</v>
      </c>
      <c r="C104">
        <f>INDEX(MMULT(MMULT($C$70:$I$76,$C$42:$I$48),$C$84:$I$90),$B104,C$97)</f>
        <v>0</v>
      </c>
      <c r="D104">
        <f t="shared" ref="D104:I104" si="27">INDEX(MMULT(MMULT($C$70:$I$76,$C$42:$I$48),$C$84:$I$90),$B104,D$97)</f>
        <v>0</v>
      </c>
      <c r="E104">
        <f t="shared" si="27"/>
        <v>0</v>
      </c>
      <c r="F104">
        <f t="shared" si="27"/>
        <v>0</v>
      </c>
      <c r="G104">
        <f t="shared" si="27"/>
        <v>0</v>
      </c>
      <c r="H104">
        <f t="shared" si="27"/>
        <v>0</v>
      </c>
      <c r="I104">
        <f t="shared" si="27"/>
        <v>1E-8</v>
      </c>
      <c r="J104">
        <f t="shared" si="25"/>
        <v>0</v>
      </c>
      <c r="K104">
        <f t="shared" si="26"/>
        <v>0</v>
      </c>
      <c r="L104">
        <f t="shared" si="24"/>
        <v>0</v>
      </c>
    </row>
    <row r="105" spans="2:12" x14ac:dyDescent="0.2">
      <c r="B105" s="8">
        <v>8</v>
      </c>
      <c r="C105">
        <f>INDEX(MMULT(MMULT($C$70:$J$77,$C$42:$J$49),$C$84:$J$91),$B105,C$97)</f>
        <v>0</v>
      </c>
      <c r="D105">
        <f t="shared" ref="D105:J105" si="28">INDEX(MMULT(MMULT($C$70:$J$77,$C$42:$J$49),$C$84:$J$91),$B105,D$97)</f>
        <v>0</v>
      </c>
      <c r="E105">
        <f t="shared" si="28"/>
        <v>0</v>
      </c>
      <c r="F105">
        <f t="shared" si="28"/>
        <v>0</v>
      </c>
      <c r="G105">
        <f t="shared" si="28"/>
        <v>0</v>
      </c>
      <c r="H105">
        <f t="shared" si="28"/>
        <v>0</v>
      </c>
      <c r="I105">
        <f t="shared" si="28"/>
        <v>0</v>
      </c>
      <c r="J105">
        <f t="shared" si="28"/>
        <v>1E-8</v>
      </c>
      <c r="K105">
        <f t="shared" si="26"/>
        <v>0</v>
      </c>
      <c r="L105">
        <f t="shared" si="24"/>
        <v>0</v>
      </c>
    </row>
    <row r="106" spans="2:12" x14ac:dyDescent="0.2">
      <c r="B106" s="8">
        <v>9</v>
      </c>
      <c r="C106">
        <f>INDEX(MMULT(MMULT($C$70:$K$78,$C$42:$K$50),$C$84:$K$92),$B106,C$97)</f>
        <v>0</v>
      </c>
      <c r="D106">
        <f t="shared" ref="D106:K106" si="29">INDEX(MMULT(MMULT($C$70:$K$78,$C$42:$K$50),$C$84:$K$92),$B106,D$97)</f>
        <v>0</v>
      </c>
      <c r="E106">
        <f t="shared" si="29"/>
        <v>0</v>
      </c>
      <c r="F106">
        <f t="shared" si="29"/>
        <v>0</v>
      </c>
      <c r="G106">
        <f t="shared" si="29"/>
        <v>0</v>
      </c>
      <c r="H106">
        <f t="shared" si="29"/>
        <v>0</v>
      </c>
      <c r="I106">
        <f t="shared" si="29"/>
        <v>0</v>
      </c>
      <c r="J106">
        <f t="shared" si="29"/>
        <v>0</v>
      </c>
      <c r="K106">
        <f t="shared" si="29"/>
        <v>1E-8</v>
      </c>
      <c r="L106">
        <f t="shared" si="24"/>
        <v>0</v>
      </c>
    </row>
    <row r="107" spans="2:12" x14ac:dyDescent="0.2">
      <c r="B107" s="8">
        <v>10</v>
      </c>
      <c r="C107">
        <f t="shared" ref="C107:K107" si="30">INDEX(MMULT(MMULT($C$70:$L$79,$C$42:$L$51),$C$84:$L$93),$B107,C$97)</f>
        <v>0</v>
      </c>
      <c r="D107">
        <f t="shared" si="30"/>
        <v>0</v>
      </c>
      <c r="E107">
        <f t="shared" si="30"/>
        <v>0</v>
      </c>
      <c r="F107">
        <f t="shared" si="30"/>
        <v>0</v>
      </c>
      <c r="G107">
        <f t="shared" si="30"/>
        <v>0</v>
      </c>
      <c r="H107">
        <f t="shared" si="30"/>
        <v>0</v>
      </c>
      <c r="I107">
        <f t="shared" si="30"/>
        <v>0</v>
      </c>
      <c r="J107">
        <f t="shared" si="30"/>
        <v>0</v>
      </c>
      <c r="K107">
        <f t="shared" si="30"/>
        <v>0</v>
      </c>
      <c r="L107">
        <f t="shared" si="24"/>
        <v>1E-8</v>
      </c>
    </row>
    <row r="111" spans="2:12" x14ac:dyDescent="0.2">
      <c r="C111" t="s">
        <v>51</v>
      </c>
    </row>
    <row r="112" spans="2:12" ht="13.5" thickBot="1" x14ac:dyDescent="0.25">
      <c r="C112" s="7">
        <v>1</v>
      </c>
      <c r="D112" s="7">
        <v>2</v>
      </c>
      <c r="E112" s="7">
        <v>3</v>
      </c>
      <c r="F112" s="7">
        <v>4</v>
      </c>
      <c r="G112" s="7">
        <v>5</v>
      </c>
      <c r="H112" s="7">
        <v>6</v>
      </c>
      <c r="I112" s="7">
        <v>7</v>
      </c>
      <c r="J112" s="7">
        <v>8</v>
      </c>
      <c r="K112" s="7">
        <v>9</v>
      </c>
      <c r="L112" s="7">
        <v>10</v>
      </c>
    </row>
    <row r="113" spans="2:12" x14ac:dyDescent="0.2">
      <c r="B113" s="8">
        <v>1</v>
      </c>
      <c r="C113">
        <f>INDEX(MMULT($C$70:$C$70,$O$42:$O$42),$B113,C$112)</f>
        <v>1.3201109158755072E-2</v>
      </c>
      <c r="D113">
        <f>INDEX(MMULT($C$70:$D$71,$O$42:$P$43),$B113,D$112)</f>
        <v>0</v>
      </c>
      <c r="E113">
        <f>INDEX(MMULT($C$70:$E$72,$O$42:$Q$44),$B113,E$112)</f>
        <v>0</v>
      </c>
      <c r="F113">
        <f>INDEX(MMULT($C$70:$F$73,$O$42:$R$45),$B113,F$112)</f>
        <v>0</v>
      </c>
      <c r="G113">
        <f>INDEX(MMULT($C$70:$G$74,$O$42:$S$46),$B113,G$112)</f>
        <v>0</v>
      </c>
      <c r="H113">
        <f t="shared" ref="H113:H118" si="31">INDEX(MMULT($C$70:$H$75,$O$42:$T$47),$B113,H$112)</f>
        <v>0</v>
      </c>
      <c r="I113">
        <f t="shared" ref="I113:I119" si="32">INDEX(MMULT($C$70:$I$76,$O$42:$U$48),$B113,I$112)</f>
        <v>0</v>
      </c>
      <c r="J113">
        <f t="shared" ref="J113:J120" si="33">INDEX(MMULT($C$70:$J$77,$O$42:$V$49),$B113,J$112)</f>
        <v>0</v>
      </c>
      <c r="K113">
        <f t="shared" ref="K113:K121" si="34">INDEX(MMULT($C$70:$K$78,$O$42:$W$50),$B113,K$112)</f>
        <v>0</v>
      </c>
      <c r="L113">
        <f t="shared" ref="L113:L122" si="35">INDEX(MMULT($C$70:$L$79,$O$42:$X$51),$B113,L$112)</f>
        <v>0</v>
      </c>
    </row>
    <row r="114" spans="2:12" x14ac:dyDescent="0.2">
      <c r="B114" s="8">
        <v>2</v>
      </c>
      <c r="C114">
        <f>INDEX(MMULT($C$70:$D$71,$O$42:$P$43),$B114,C$112)</f>
        <v>1.2851981359626282E-2</v>
      </c>
      <c r="D114">
        <f>INDEX(MMULT($C$70:$D$71,$O$42:$P$43),$B114,D$112)</f>
        <v>3.1613398596372234E-3</v>
      </c>
      <c r="E114">
        <f>INDEX(MMULT($C$70:$E$72,$O$42:$Q$44),$B114,E$112)</f>
        <v>0</v>
      </c>
      <c r="F114">
        <f>INDEX(MMULT($C$70:$F$73,$O$42:$R$45),$B114,F$112)</f>
        <v>0</v>
      </c>
      <c r="G114">
        <f>INDEX(MMULT($C$70:$G$74,$O$42:$S$46),$B114,G$112)</f>
        <v>0</v>
      </c>
      <c r="H114">
        <f t="shared" si="31"/>
        <v>0</v>
      </c>
      <c r="I114">
        <f t="shared" si="32"/>
        <v>0</v>
      </c>
      <c r="J114">
        <f t="shared" si="33"/>
        <v>0</v>
      </c>
      <c r="K114">
        <f t="shared" si="34"/>
        <v>0</v>
      </c>
      <c r="L114">
        <f t="shared" si="35"/>
        <v>0</v>
      </c>
    </row>
    <row r="115" spans="2:12" x14ac:dyDescent="0.2">
      <c r="B115" s="8">
        <v>3</v>
      </c>
      <c r="C115">
        <f>INDEX(MMULT($C$70:$E$72,$O$42:$Q$44),$B115,C$112)</f>
        <v>-7.4582866706937131E-2</v>
      </c>
      <c r="D115">
        <f>INDEX(MMULT($C$70:$E$72,$O$42:$Q$44),$B115,D$112)</f>
        <v>4.6683296687881418E-3</v>
      </c>
      <c r="E115">
        <f>INDEX(MMULT($C$70:$E$72,$O$42:$Q$44),$B115,E$112)</f>
        <v>3.1359146196151551E-2</v>
      </c>
      <c r="F115">
        <f>INDEX(MMULT($C$70:$F$73,$O$42:$R$45),$B115,F$112)</f>
        <v>0</v>
      </c>
      <c r="G115">
        <f>INDEX(MMULT($C$70:$G$74,$O$42:$S$46),$B115,G$112)</f>
        <v>0</v>
      </c>
      <c r="H115">
        <f t="shared" si="31"/>
        <v>0</v>
      </c>
      <c r="I115">
        <f t="shared" si="32"/>
        <v>0</v>
      </c>
      <c r="J115">
        <f t="shared" si="33"/>
        <v>0</v>
      </c>
      <c r="K115">
        <f t="shared" si="34"/>
        <v>0</v>
      </c>
      <c r="L115">
        <f t="shared" si="35"/>
        <v>0</v>
      </c>
    </row>
    <row r="116" spans="2:12" x14ac:dyDescent="0.2">
      <c r="B116" s="8">
        <v>4</v>
      </c>
      <c r="C116">
        <f>INDEX(MMULT($C$70:$F$73,$O$42:$R$45),$B116,C$112)</f>
        <v>-6.860843777269944E-2</v>
      </c>
      <c r="D116">
        <f>INDEX(MMULT($C$70:$F$73,$O$42:$R$45),$B116,D$112)</f>
        <v>-1.5489237274498768E-3</v>
      </c>
      <c r="E116">
        <f>INDEX(MMULT($C$70:$F$73,$O$42:$R$45),$B116,E$112)</f>
        <v>2.574844601466315E-2</v>
      </c>
      <c r="F116">
        <f>INDEX(MMULT($C$70:$F$73,$O$42:$R$45),$B116,F$112)</f>
        <v>1.4152243097223486E-2</v>
      </c>
      <c r="G116">
        <f>INDEX(MMULT($C$70:$G$74,$O$42:$S$46),$B116,G$112)</f>
        <v>0</v>
      </c>
      <c r="H116">
        <f t="shared" si="31"/>
        <v>0</v>
      </c>
      <c r="I116">
        <f t="shared" si="32"/>
        <v>0</v>
      </c>
      <c r="J116">
        <f t="shared" si="33"/>
        <v>0</v>
      </c>
      <c r="K116">
        <f t="shared" si="34"/>
        <v>0</v>
      </c>
      <c r="L116">
        <f t="shared" si="35"/>
        <v>0</v>
      </c>
    </row>
    <row r="117" spans="2:12" x14ac:dyDescent="0.2">
      <c r="B117" s="8">
        <v>5</v>
      </c>
      <c r="C117">
        <f>INDEX(MMULT($C$70:$G$74,$O$42:$S$46),$B117,C$112)</f>
        <v>0</v>
      </c>
      <c r="D117">
        <f>INDEX(MMULT($C$70:$G$74,$O$42:$S$46),$B117,D$112)</f>
        <v>0</v>
      </c>
      <c r="E117">
        <f>INDEX(MMULT($C$70:$G$74,$O$42:$S$46),$B117,E$112)</f>
        <v>0</v>
      </c>
      <c r="F117">
        <f>INDEX(MMULT($C$70:$G$74,$O$42:$S$46),$B117,F$112)</f>
        <v>0</v>
      </c>
      <c r="G117">
        <f>INDEX(MMULT($C$70:$G$74,$O$42:$S$46),$B117,G$112)</f>
        <v>9.9999999999999991E-5</v>
      </c>
      <c r="H117">
        <f t="shared" si="31"/>
        <v>0</v>
      </c>
      <c r="I117">
        <f t="shared" si="32"/>
        <v>0</v>
      </c>
      <c r="J117">
        <f t="shared" si="33"/>
        <v>0</v>
      </c>
      <c r="K117">
        <f t="shared" si="34"/>
        <v>0</v>
      </c>
      <c r="L117">
        <f t="shared" si="35"/>
        <v>0</v>
      </c>
    </row>
    <row r="118" spans="2:12" x14ac:dyDescent="0.2">
      <c r="B118" s="8">
        <v>6</v>
      </c>
      <c r="C118">
        <f>INDEX(MMULT($C$70:$H$75,$O$42:$T$47),$B118,C$112)</f>
        <v>0</v>
      </c>
      <c r="D118">
        <f>INDEX(MMULT($C$70:$H$75,$O$42:$T$47),$B118,D$112)</f>
        <v>0</v>
      </c>
      <c r="E118">
        <f>INDEX(MMULT($C$70:$H$75,$O$42:$T$47),$B118,E$112)</f>
        <v>0</v>
      </c>
      <c r="F118">
        <f>INDEX(MMULT($C$70:$H$75,$O$42:$T$47),$B118,F$112)</f>
        <v>0</v>
      </c>
      <c r="G118">
        <f>INDEX(MMULT($C$70:$H$75,$O$42:$T$47),$B118,G$112)</f>
        <v>0</v>
      </c>
      <c r="H118">
        <f t="shared" si="31"/>
        <v>1E-4</v>
      </c>
      <c r="I118">
        <f t="shared" si="32"/>
        <v>0</v>
      </c>
      <c r="J118">
        <f t="shared" si="33"/>
        <v>0</v>
      </c>
      <c r="K118">
        <f t="shared" si="34"/>
        <v>0</v>
      </c>
      <c r="L118">
        <f t="shared" si="35"/>
        <v>0</v>
      </c>
    </row>
    <row r="119" spans="2:12" x14ac:dyDescent="0.2">
      <c r="B119" s="8">
        <v>7</v>
      </c>
      <c r="C119">
        <f t="shared" ref="C119:H119" si="36">INDEX(MMULT($C$70:$I$76,$O$42:$U$48),$B119,C$112)</f>
        <v>0</v>
      </c>
      <c r="D119">
        <f t="shared" si="36"/>
        <v>0</v>
      </c>
      <c r="E119">
        <f t="shared" si="36"/>
        <v>0</v>
      </c>
      <c r="F119">
        <f t="shared" si="36"/>
        <v>0</v>
      </c>
      <c r="G119">
        <f t="shared" si="36"/>
        <v>0</v>
      </c>
      <c r="H119">
        <f t="shared" si="36"/>
        <v>0</v>
      </c>
      <c r="I119">
        <f t="shared" si="32"/>
        <v>1E-4</v>
      </c>
      <c r="J119">
        <f t="shared" si="33"/>
        <v>0</v>
      </c>
      <c r="K119">
        <f t="shared" si="34"/>
        <v>0</v>
      </c>
      <c r="L119">
        <f t="shared" si="35"/>
        <v>0</v>
      </c>
    </row>
    <row r="120" spans="2:12" x14ac:dyDescent="0.2">
      <c r="B120" s="8">
        <v>8</v>
      </c>
      <c r="C120">
        <f t="shared" ref="C120:I120" si="37">INDEX(MMULT($C$70:$J$77,$O$42:$V$49),$B120,C$112)</f>
        <v>0</v>
      </c>
      <c r="D120">
        <f t="shared" si="37"/>
        <v>0</v>
      </c>
      <c r="E120">
        <f t="shared" si="37"/>
        <v>0</v>
      </c>
      <c r="F120">
        <f t="shared" si="37"/>
        <v>0</v>
      </c>
      <c r="G120">
        <f t="shared" si="37"/>
        <v>0</v>
      </c>
      <c r="H120">
        <f t="shared" si="37"/>
        <v>0</v>
      </c>
      <c r="I120">
        <f t="shared" si="37"/>
        <v>0</v>
      </c>
      <c r="J120">
        <f t="shared" si="33"/>
        <v>1E-4</v>
      </c>
      <c r="K120">
        <f t="shared" si="34"/>
        <v>0</v>
      </c>
      <c r="L120">
        <f t="shared" si="35"/>
        <v>0</v>
      </c>
    </row>
    <row r="121" spans="2:12" x14ac:dyDescent="0.2">
      <c r="B121" s="8">
        <v>9</v>
      </c>
      <c r="C121">
        <f t="shared" ref="C121:J121" si="38">INDEX(MMULT($C$70:$K$78,$O$42:$W$50),$B121,C$112)</f>
        <v>0</v>
      </c>
      <c r="D121">
        <f t="shared" si="38"/>
        <v>0</v>
      </c>
      <c r="E121">
        <f t="shared" si="38"/>
        <v>0</v>
      </c>
      <c r="F121">
        <f t="shared" si="38"/>
        <v>0</v>
      </c>
      <c r="G121">
        <f t="shared" si="38"/>
        <v>0</v>
      </c>
      <c r="H121">
        <f t="shared" si="38"/>
        <v>0</v>
      </c>
      <c r="I121">
        <f t="shared" si="38"/>
        <v>0</v>
      </c>
      <c r="J121">
        <f t="shared" si="38"/>
        <v>0</v>
      </c>
      <c r="K121">
        <f t="shared" si="34"/>
        <v>1E-4</v>
      </c>
      <c r="L121">
        <f t="shared" si="35"/>
        <v>0</v>
      </c>
    </row>
    <row r="122" spans="2:12" x14ac:dyDescent="0.2">
      <c r="B122" s="8">
        <v>10</v>
      </c>
      <c r="C122">
        <f t="shared" ref="C122:K122" si="39">INDEX(MMULT($C$70:$L$79,$O$42:$X$51),$B122,C$112)</f>
        <v>0</v>
      </c>
      <c r="D122">
        <f t="shared" si="39"/>
        <v>0</v>
      </c>
      <c r="E122">
        <f t="shared" si="39"/>
        <v>0</v>
      </c>
      <c r="F122">
        <f t="shared" si="39"/>
        <v>0</v>
      </c>
      <c r="G122">
        <f t="shared" si="39"/>
        <v>0</v>
      </c>
      <c r="H122">
        <f t="shared" si="39"/>
        <v>0</v>
      </c>
      <c r="I122">
        <f t="shared" si="39"/>
        <v>0</v>
      </c>
      <c r="J122">
        <f t="shared" si="39"/>
        <v>0</v>
      </c>
      <c r="K122">
        <f t="shared" si="39"/>
        <v>0</v>
      </c>
      <c r="L122">
        <f t="shared" si="35"/>
        <v>1E-4</v>
      </c>
    </row>
    <row r="125" spans="2:12" x14ac:dyDescent="0.2">
      <c r="C125" t="s">
        <v>52</v>
      </c>
    </row>
    <row r="126" spans="2:12" ht="13.5" thickBot="1" x14ac:dyDescent="0.25">
      <c r="C126" s="7">
        <v>1</v>
      </c>
      <c r="D126" s="7">
        <v>2</v>
      </c>
      <c r="E126" s="7">
        <v>3</v>
      </c>
      <c r="F126" s="7">
        <v>4</v>
      </c>
      <c r="G126" s="7">
        <v>5</v>
      </c>
      <c r="H126" s="7">
        <v>6</v>
      </c>
      <c r="I126" s="7">
        <v>7</v>
      </c>
      <c r="J126" s="7">
        <v>8</v>
      </c>
      <c r="K126" s="7">
        <v>9</v>
      </c>
      <c r="L126" s="7">
        <v>10</v>
      </c>
    </row>
    <row r="127" spans="2:12" x14ac:dyDescent="0.2">
      <c r="B127" s="8">
        <v>1</v>
      </c>
      <c r="C127">
        <f t="array" ref="C127:L136">TRANSPOSE(C113:L122)</f>
        <v>1.3201109158755072E-2</v>
      </c>
      <c r="D127">
        <v>1.2851981359626282E-2</v>
      </c>
      <c r="E127">
        <v>-7.4582866706937131E-2</v>
      </c>
      <c r="F127">
        <v>-6.860843777269944E-2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2:12" x14ac:dyDescent="0.2">
      <c r="B128" s="8">
        <v>2</v>
      </c>
      <c r="C128">
        <v>0</v>
      </c>
      <c r="D128">
        <v>3.1613398596372234E-3</v>
      </c>
      <c r="E128">
        <v>4.6683296687881418E-3</v>
      </c>
      <c r="F128">
        <v>-1.5489237274498768E-3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2:12" x14ac:dyDescent="0.2">
      <c r="B129" s="8">
        <v>3</v>
      </c>
      <c r="C129">
        <v>0</v>
      </c>
      <c r="D129">
        <v>0</v>
      </c>
      <c r="E129">
        <v>3.1359146196151551E-2</v>
      </c>
      <c r="F129">
        <v>2.574844601466315E-2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2:12" x14ac:dyDescent="0.2">
      <c r="B130" s="8">
        <v>4</v>
      </c>
      <c r="C130">
        <v>0</v>
      </c>
      <c r="D130">
        <v>0</v>
      </c>
      <c r="E130">
        <v>0</v>
      </c>
      <c r="F130">
        <v>1.4152243097223486E-2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</row>
    <row r="131" spans="2:12" x14ac:dyDescent="0.2">
      <c r="B131" s="8">
        <v>5</v>
      </c>
      <c r="C131">
        <v>0</v>
      </c>
      <c r="D131">
        <v>0</v>
      </c>
      <c r="E131">
        <v>0</v>
      </c>
      <c r="F131">
        <v>0</v>
      </c>
      <c r="G131">
        <v>9.9999999999999991E-5</v>
      </c>
      <c r="H131">
        <v>0</v>
      </c>
      <c r="I131">
        <v>0</v>
      </c>
      <c r="J131">
        <v>0</v>
      </c>
      <c r="K131">
        <v>0</v>
      </c>
      <c r="L131">
        <v>0</v>
      </c>
    </row>
    <row r="132" spans="2:12" x14ac:dyDescent="0.2">
      <c r="B132" s="8">
        <v>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1E-4</v>
      </c>
      <c r="I132">
        <v>0</v>
      </c>
      <c r="J132">
        <v>0</v>
      </c>
      <c r="K132">
        <v>0</v>
      </c>
      <c r="L132">
        <v>0</v>
      </c>
    </row>
    <row r="133" spans="2:12" x14ac:dyDescent="0.2">
      <c r="B133" s="8">
        <v>7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1E-4</v>
      </c>
      <c r="J133">
        <v>0</v>
      </c>
      <c r="K133">
        <v>0</v>
      </c>
      <c r="L133">
        <v>0</v>
      </c>
    </row>
    <row r="134" spans="2:12" x14ac:dyDescent="0.2">
      <c r="B134" s="8">
        <v>8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1E-4</v>
      </c>
      <c r="K134">
        <v>0</v>
      </c>
      <c r="L134">
        <v>0</v>
      </c>
    </row>
    <row r="135" spans="2:12" x14ac:dyDescent="0.2">
      <c r="B135" s="8">
        <v>9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1E-4</v>
      </c>
      <c r="L135">
        <v>0</v>
      </c>
    </row>
    <row r="136" spans="2:12" x14ac:dyDescent="0.2">
      <c r="B136" s="8">
        <v>10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1E-4</v>
      </c>
    </row>
    <row r="139" spans="2:12" x14ac:dyDescent="0.2">
      <c r="C139" t="s">
        <v>53</v>
      </c>
    </row>
    <row r="140" spans="2:12" ht="13.5" thickBot="1" x14ac:dyDescent="0.25">
      <c r="C140" s="7">
        <v>1</v>
      </c>
      <c r="D140" s="7">
        <v>2</v>
      </c>
      <c r="E140" s="7">
        <v>3</v>
      </c>
      <c r="F140" s="7">
        <v>4</v>
      </c>
      <c r="G140" s="7">
        <v>5</v>
      </c>
      <c r="H140" s="7">
        <v>6</v>
      </c>
      <c r="I140" s="7">
        <v>7</v>
      </c>
      <c r="J140" s="7">
        <v>8</v>
      </c>
      <c r="K140" s="7">
        <v>9</v>
      </c>
      <c r="L140" s="7">
        <v>10</v>
      </c>
    </row>
    <row r="141" spans="2:12" x14ac:dyDescent="0.2">
      <c r="B141" s="8">
        <v>1</v>
      </c>
      <c r="C141">
        <f>INDEX(MMULT($C$113:$C$113,$C$127:$C$127),$B141,C$140)</f>
        <v>1.7426928302136707E-4</v>
      </c>
      <c r="D141">
        <f>INDEX(MMULT($C$113:$D$114,$C$127:$D$128),$B141,D$140)</f>
        <v>1.6966040883471199E-4</v>
      </c>
      <c r="E141">
        <f>INDEX(MMULT($C$113:$E$115,$C$127:$E$129),$B141,E$140)</f>
        <v>-9.8457656477115652E-4</v>
      </c>
      <c r="F141">
        <f>INDEX(MMULT($C$113:$F$116,$C$127:$F$130),$B141,F$140)</f>
        <v>-9.0570747624906E-4</v>
      </c>
      <c r="G141">
        <f>INDEX(MMULT($C$113:$G$117,$C$127:$G$131),$B141,G$140)</f>
        <v>0</v>
      </c>
      <c r="H141">
        <f t="shared" ref="H141:H146" si="40">INDEX(MMULT($C$113:$H$118,$C$127:$H$132),$B141,H$140)</f>
        <v>0</v>
      </c>
      <c r="I141">
        <f t="shared" ref="D141:L150" si="41">INDEX(MMULT($C$113:$L$122,$C$127:$L$136),$B141,I$140)</f>
        <v>0</v>
      </c>
      <c r="J141">
        <f t="shared" si="41"/>
        <v>0</v>
      </c>
      <c r="K141">
        <f t="shared" si="41"/>
        <v>0</v>
      </c>
      <c r="L141">
        <f t="shared" si="41"/>
        <v>0</v>
      </c>
    </row>
    <row r="142" spans="2:12" x14ac:dyDescent="0.2">
      <c r="B142" s="8">
        <v>2</v>
      </c>
      <c r="C142">
        <f>INDEX(MMULT($C$113:$D$114,$C$127:$D$128),$B142,C$140)</f>
        <v>1.6966040883471199E-4</v>
      </c>
      <c r="D142">
        <f>INDEX(MMULT($C$113:$D$114,$C$127:$D$128),$B142,D$140)</f>
        <v>1.7516749457631252E-4</v>
      </c>
      <c r="E142">
        <f>INDEX(MMULT($C$113:$E$115,$C$127:$E$129),$B142,E$140)</f>
        <v>-9.4377943600518069E-4</v>
      </c>
      <c r="F142">
        <f>INDEX(MMULT($C$113:$F$116,$C$127:$F$130),$B142,F$140)</f>
        <v>-8.8665103768693812E-4</v>
      </c>
      <c r="G142">
        <f>INDEX(MMULT($C$113:$G$117,$C$127:$G$131),$B142,G$140)</f>
        <v>0</v>
      </c>
      <c r="H142">
        <f t="shared" si="40"/>
        <v>0</v>
      </c>
      <c r="I142">
        <f t="shared" si="41"/>
        <v>0</v>
      </c>
      <c r="J142">
        <f t="shared" si="41"/>
        <v>0</v>
      </c>
      <c r="K142">
        <f t="shared" si="41"/>
        <v>0</v>
      </c>
      <c r="L142">
        <f t="shared" si="41"/>
        <v>0</v>
      </c>
    </row>
    <row r="143" spans="2:12" x14ac:dyDescent="0.2">
      <c r="B143" s="8">
        <v>3</v>
      </c>
      <c r="C143">
        <f>INDEX(MMULT($C$113:$E$115,$C$127:$E$129),$B143,C$140)</f>
        <v>-9.8457656477115652E-4</v>
      </c>
      <c r="D143">
        <f>INDEX(MMULT($C$113:$E$115,$C$127:$E$129),$B143,D$140)</f>
        <v>-9.4377943600518069E-4</v>
      </c>
      <c r="E143">
        <f>INDEX(MMULT($C$113:$E$115,$C$127:$E$129),$B143,E$140)</f>
        <v>6.5677933582728451E-3</v>
      </c>
      <c r="F143">
        <f>INDEX(MMULT($C$113:$F$116,$C$127:$F$130),$B143,F$140)</f>
        <v>5.9172323656784265E-3</v>
      </c>
      <c r="G143">
        <f>INDEX(MMULT($C$113:$G$117,$C$127:$G$131),$B143,G$140)</f>
        <v>0</v>
      </c>
      <c r="H143">
        <f t="shared" si="40"/>
        <v>0</v>
      </c>
      <c r="I143">
        <f t="shared" si="41"/>
        <v>0</v>
      </c>
      <c r="J143">
        <f t="shared" si="41"/>
        <v>0</v>
      </c>
      <c r="K143">
        <f t="shared" si="41"/>
        <v>0</v>
      </c>
      <c r="L143">
        <f t="shared" si="41"/>
        <v>0</v>
      </c>
    </row>
    <row r="144" spans="2:12" x14ac:dyDescent="0.2">
      <c r="B144" s="8">
        <v>4</v>
      </c>
      <c r="C144">
        <f>INDEX(MMULT($C$113:$F$116,$C$127:$F$130),$B144,C$140)</f>
        <v>-9.0570747624906E-4</v>
      </c>
      <c r="D144">
        <f>INDEX(MMULT($C$113:$F$116,$C$127:$F$130),$B144,D$140)</f>
        <v>-8.8665103768693812E-4</v>
      </c>
      <c r="E144">
        <f>INDEX(MMULT($C$113:$F$116,$C$127:$F$130),$B144,E$140)</f>
        <v>5.9172323656784265E-3</v>
      </c>
      <c r="F144">
        <f>INDEX(MMULT($C$113:$F$116,$C$127:$F$130),$B144,F$140)</f>
        <v>5.5727853551767615E-3</v>
      </c>
      <c r="G144">
        <f>INDEX(MMULT($C$113:$G$117,$C$127:$G$131),$B144,G$140)</f>
        <v>0</v>
      </c>
      <c r="H144">
        <f t="shared" si="40"/>
        <v>0</v>
      </c>
      <c r="I144">
        <f t="shared" si="41"/>
        <v>0</v>
      </c>
      <c r="J144">
        <f t="shared" si="41"/>
        <v>0</v>
      </c>
      <c r="K144">
        <f t="shared" si="41"/>
        <v>0</v>
      </c>
      <c r="L144">
        <f t="shared" si="41"/>
        <v>0</v>
      </c>
    </row>
    <row r="145" spans="2:12" x14ac:dyDescent="0.2">
      <c r="B145" s="8">
        <v>5</v>
      </c>
      <c r="C145">
        <f>INDEX(MMULT($C$113:$G$117,$C$127:$G$131),$B145,C$140)</f>
        <v>0</v>
      </c>
      <c r="D145">
        <f>INDEX(MMULT($C$113:$G$117,$C$127:$G$131),$B145,D$140)</f>
        <v>0</v>
      </c>
      <c r="E145">
        <f>INDEX(MMULT($C$113:$G$117,$C$127:$G$131),$B145,E$140)</f>
        <v>0</v>
      </c>
      <c r="F145">
        <f>INDEX(MMULT($C$113:$G$117,$C$127:$G$131),$B145,F$140)</f>
        <v>0</v>
      </c>
      <c r="G145">
        <f>INDEX(MMULT($C$113:$G$117,$C$127:$G$131),$B145,G$140)</f>
        <v>9.9999999999999986E-9</v>
      </c>
      <c r="H145">
        <f t="shared" si="40"/>
        <v>0</v>
      </c>
      <c r="I145">
        <f t="shared" si="41"/>
        <v>0</v>
      </c>
      <c r="J145">
        <f t="shared" si="41"/>
        <v>0</v>
      </c>
      <c r="K145">
        <f t="shared" si="41"/>
        <v>0</v>
      </c>
      <c r="L145">
        <f t="shared" si="41"/>
        <v>0</v>
      </c>
    </row>
    <row r="146" spans="2:12" x14ac:dyDescent="0.2">
      <c r="B146" s="8">
        <v>6</v>
      </c>
      <c r="C146">
        <f>INDEX(MMULT($C$113:$H$118,$C$127:$H$132),$B146,C$140)</f>
        <v>0</v>
      </c>
      <c r="D146">
        <f>INDEX(MMULT($C$113:$H$118,$C$127:$H$132),$B146,D$140)</f>
        <v>0</v>
      </c>
      <c r="E146">
        <f>INDEX(MMULT($C$113:$H$118,$C$127:$H$132),$B146,E$140)</f>
        <v>0</v>
      </c>
      <c r="F146">
        <f>INDEX(MMULT($C$113:$H$118,$C$127:$H$132),$B146,F$140)</f>
        <v>0</v>
      </c>
      <c r="G146">
        <f>INDEX(MMULT($C$113:$H$118,$C$127:$H$132),$B146,G$140)</f>
        <v>0</v>
      </c>
      <c r="H146">
        <f t="shared" si="40"/>
        <v>1E-8</v>
      </c>
      <c r="I146">
        <f t="shared" si="41"/>
        <v>0</v>
      </c>
      <c r="J146">
        <f t="shared" si="41"/>
        <v>0</v>
      </c>
      <c r="K146">
        <f t="shared" si="41"/>
        <v>0</v>
      </c>
      <c r="L146">
        <f t="shared" si="41"/>
        <v>0</v>
      </c>
    </row>
    <row r="147" spans="2:12" x14ac:dyDescent="0.2">
      <c r="B147" s="8">
        <v>7</v>
      </c>
      <c r="C147">
        <f>INDEX(MMULT($C$113:$L$122,$C$127:$L$136),$B147,C$140)</f>
        <v>0</v>
      </c>
      <c r="D147">
        <f t="shared" si="41"/>
        <v>0</v>
      </c>
      <c r="E147">
        <f t="shared" si="41"/>
        <v>0</v>
      </c>
      <c r="F147">
        <f t="shared" si="41"/>
        <v>0</v>
      </c>
      <c r="G147">
        <f t="shared" si="41"/>
        <v>0</v>
      </c>
      <c r="H147">
        <f t="shared" si="41"/>
        <v>0</v>
      </c>
      <c r="I147">
        <f t="shared" si="41"/>
        <v>1E-8</v>
      </c>
      <c r="J147">
        <f t="shared" si="41"/>
        <v>0</v>
      </c>
      <c r="K147">
        <f t="shared" si="41"/>
        <v>0</v>
      </c>
      <c r="L147">
        <f t="shared" si="41"/>
        <v>0</v>
      </c>
    </row>
    <row r="148" spans="2:12" x14ac:dyDescent="0.2">
      <c r="B148" s="8">
        <v>8</v>
      </c>
      <c r="C148">
        <f>INDEX(MMULT($C$113:$L$122,$C$127:$L$136),$B148,C$140)</f>
        <v>0</v>
      </c>
      <c r="D148">
        <f t="shared" si="41"/>
        <v>0</v>
      </c>
      <c r="E148">
        <f t="shared" si="41"/>
        <v>0</v>
      </c>
      <c r="F148">
        <f t="shared" si="41"/>
        <v>0</v>
      </c>
      <c r="G148">
        <f t="shared" si="41"/>
        <v>0</v>
      </c>
      <c r="H148">
        <f t="shared" si="41"/>
        <v>0</v>
      </c>
      <c r="I148">
        <f t="shared" si="41"/>
        <v>0</v>
      </c>
      <c r="J148">
        <f t="shared" si="41"/>
        <v>1E-8</v>
      </c>
      <c r="K148">
        <f t="shared" si="41"/>
        <v>0</v>
      </c>
      <c r="L148">
        <f t="shared" si="41"/>
        <v>0</v>
      </c>
    </row>
    <row r="149" spans="2:12" x14ac:dyDescent="0.2">
      <c r="B149" s="8">
        <v>9</v>
      </c>
      <c r="C149">
        <f>INDEX(MMULT($C$113:$L$122,$C$127:$L$136),$B149,C$140)</f>
        <v>0</v>
      </c>
      <c r="D149">
        <f t="shared" si="41"/>
        <v>0</v>
      </c>
      <c r="E149">
        <f t="shared" si="41"/>
        <v>0</v>
      </c>
      <c r="F149">
        <f t="shared" si="41"/>
        <v>0</v>
      </c>
      <c r="G149">
        <f t="shared" si="41"/>
        <v>0</v>
      </c>
      <c r="H149">
        <f t="shared" si="41"/>
        <v>0</v>
      </c>
      <c r="I149">
        <f t="shared" si="41"/>
        <v>0</v>
      </c>
      <c r="J149">
        <f t="shared" si="41"/>
        <v>0</v>
      </c>
      <c r="K149">
        <f t="shared" si="41"/>
        <v>1E-8</v>
      </c>
      <c r="L149">
        <f t="shared" si="41"/>
        <v>0</v>
      </c>
    </row>
    <row r="150" spans="2:12" x14ac:dyDescent="0.2">
      <c r="B150" s="8">
        <v>10</v>
      </c>
      <c r="C150">
        <f>INDEX(MMULT($C$113:$L$122,$C$127:$L$136),$B150,C$140)</f>
        <v>0</v>
      </c>
      <c r="D150">
        <f t="shared" si="41"/>
        <v>0</v>
      </c>
      <c r="E150">
        <f t="shared" si="41"/>
        <v>0</v>
      </c>
      <c r="F150">
        <f t="shared" si="41"/>
        <v>0</v>
      </c>
      <c r="G150">
        <f t="shared" si="41"/>
        <v>0</v>
      </c>
      <c r="H150">
        <f t="shared" si="41"/>
        <v>0</v>
      </c>
      <c r="I150">
        <f t="shared" si="41"/>
        <v>0</v>
      </c>
      <c r="J150">
        <f t="shared" si="41"/>
        <v>0</v>
      </c>
      <c r="K150">
        <f t="shared" si="41"/>
        <v>0</v>
      </c>
      <c r="L150">
        <f t="shared" si="41"/>
        <v>1E-8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000"/>
  <sheetViews>
    <sheetView workbookViewId="0">
      <selection sqref="A1:A5000"/>
    </sheetView>
  </sheetViews>
  <sheetFormatPr defaultColWidth="8.85546875" defaultRowHeight="12.75" x14ac:dyDescent="0.2"/>
  <sheetData>
    <row r="1" spans="1:1" x14ac:dyDescent="0.2">
      <c r="A1">
        <v>4570.9562716415967</v>
      </c>
    </row>
    <row r="2" spans="1:1" x14ac:dyDescent="0.2">
      <c r="A2">
        <v>-2018.9015814823797</v>
      </c>
    </row>
    <row r="3" spans="1:1" x14ac:dyDescent="0.2">
      <c r="A3">
        <v>5081.7056430933299</v>
      </c>
    </row>
    <row r="4" spans="1:1" x14ac:dyDescent="0.2">
      <c r="A4">
        <v>19782.825382560899</v>
      </c>
    </row>
    <row r="5" spans="1:1" x14ac:dyDescent="0.2">
      <c r="A5">
        <v>5350.9530606903136</v>
      </c>
    </row>
    <row r="6" spans="1:1" x14ac:dyDescent="0.2">
      <c r="A6">
        <v>5410.4822498223512</v>
      </c>
    </row>
    <row r="7" spans="1:1" x14ac:dyDescent="0.2">
      <c r="A7">
        <v>-7991.2514521306148</v>
      </c>
    </row>
    <row r="8" spans="1:1" x14ac:dyDescent="0.2">
      <c r="A8">
        <v>2191.4133705429849</v>
      </c>
    </row>
    <row r="9" spans="1:1" x14ac:dyDescent="0.2">
      <c r="A9">
        <v>23217.284494842781</v>
      </c>
    </row>
    <row r="10" spans="1:1" x14ac:dyDescent="0.2">
      <c r="A10">
        <v>1960.7116448439774</v>
      </c>
    </row>
    <row r="11" spans="1:1" x14ac:dyDescent="0.2">
      <c r="A11">
        <v>-9734.3276540721999</v>
      </c>
    </row>
    <row r="12" spans="1:1" x14ac:dyDescent="0.2">
      <c r="A12">
        <v>3018.5960261304863</v>
      </c>
    </row>
    <row r="13" spans="1:1" x14ac:dyDescent="0.2">
      <c r="A13">
        <v>-865.02619493578095</v>
      </c>
    </row>
    <row r="14" spans="1:1" x14ac:dyDescent="0.2">
      <c r="A14">
        <v>12547.471893761132</v>
      </c>
    </row>
    <row r="15" spans="1:1" x14ac:dyDescent="0.2">
      <c r="A15">
        <v>-4732.0627050829644</v>
      </c>
    </row>
    <row r="16" spans="1:1" x14ac:dyDescent="0.2">
      <c r="A16">
        <v>8141.5362204776611</v>
      </c>
    </row>
    <row r="17" spans="1:1" x14ac:dyDescent="0.2">
      <c r="A17">
        <v>-14137.042923480476</v>
      </c>
    </row>
    <row r="18" spans="1:1" x14ac:dyDescent="0.2">
      <c r="A18">
        <v>-5533.2392077911063</v>
      </c>
    </row>
    <row r="19" spans="1:1" x14ac:dyDescent="0.2">
      <c r="A19">
        <v>10648.248027910595</v>
      </c>
    </row>
    <row r="20" spans="1:1" x14ac:dyDescent="0.2">
      <c r="A20">
        <v>12551.058765216905</v>
      </c>
    </row>
    <row r="21" spans="1:1" x14ac:dyDescent="0.2">
      <c r="A21">
        <v>-7022.9238349097141</v>
      </c>
    </row>
    <row r="22" spans="1:1" x14ac:dyDescent="0.2">
      <c r="A22">
        <v>1988.9761925982602</v>
      </c>
    </row>
    <row r="23" spans="1:1" x14ac:dyDescent="0.2">
      <c r="A23">
        <v>8208.2985788188525</v>
      </c>
    </row>
    <row r="24" spans="1:1" x14ac:dyDescent="0.2">
      <c r="A24">
        <v>-2695.3576798779832</v>
      </c>
    </row>
    <row r="25" spans="1:1" x14ac:dyDescent="0.2">
      <c r="A25">
        <v>1501.3428278866631</v>
      </c>
    </row>
    <row r="26" spans="1:1" x14ac:dyDescent="0.2">
      <c r="A26">
        <v>-4054.5183652662963</v>
      </c>
    </row>
    <row r="27" spans="1:1" x14ac:dyDescent="0.2">
      <c r="A27">
        <v>4847.2965188897506</v>
      </c>
    </row>
    <row r="28" spans="1:1" x14ac:dyDescent="0.2">
      <c r="A28">
        <v>-1090.3723431860562</v>
      </c>
    </row>
    <row r="29" spans="1:1" x14ac:dyDescent="0.2">
      <c r="A29">
        <v>6969.8605884717254</v>
      </c>
    </row>
    <row r="30" spans="1:1" x14ac:dyDescent="0.2">
      <c r="A30">
        <v>9818.9506175760762</v>
      </c>
    </row>
    <row r="31" spans="1:1" x14ac:dyDescent="0.2">
      <c r="A31">
        <v>-1047.8223410616192</v>
      </c>
    </row>
    <row r="32" spans="1:1" x14ac:dyDescent="0.2">
      <c r="A32">
        <v>7694.741873928986</v>
      </c>
    </row>
    <row r="33" spans="1:1" x14ac:dyDescent="0.2">
      <c r="A33">
        <v>-984.75805080955615</v>
      </c>
    </row>
    <row r="34" spans="1:1" x14ac:dyDescent="0.2">
      <c r="A34">
        <v>-42836.238370035717</v>
      </c>
    </row>
    <row r="35" spans="1:1" x14ac:dyDescent="0.2">
      <c r="A35">
        <v>12449.193759763322</v>
      </c>
    </row>
    <row r="36" spans="1:1" x14ac:dyDescent="0.2">
      <c r="A36">
        <v>-1621.5767455708701</v>
      </c>
    </row>
    <row r="37" spans="1:1" x14ac:dyDescent="0.2">
      <c r="A37">
        <v>-1088.0524882006866</v>
      </c>
    </row>
    <row r="38" spans="1:1" x14ac:dyDescent="0.2">
      <c r="A38">
        <v>1830.9334090278717</v>
      </c>
    </row>
    <row r="39" spans="1:1" x14ac:dyDescent="0.2">
      <c r="A39">
        <v>-3233.0733904153167</v>
      </c>
    </row>
    <row r="40" spans="1:1" x14ac:dyDescent="0.2">
      <c r="A40">
        <v>327.6096526121255</v>
      </c>
    </row>
    <row r="41" spans="1:1" x14ac:dyDescent="0.2">
      <c r="A41">
        <v>-3859.0215312233486</v>
      </c>
    </row>
    <row r="42" spans="1:1" x14ac:dyDescent="0.2">
      <c r="A42">
        <v>6121.1514792861853</v>
      </c>
    </row>
    <row r="43" spans="1:1" x14ac:dyDescent="0.2">
      <c r="A43">
        <v>-2636.8754660983104</v>
      </c>
    </row>
    <row r="44" spans="1:1" x14ac:dyDescent="0.2">
      <c r="A44">
        <v>-6486.2377950186492</v>
      </c>
    </row>
    <row r="45" spans="1:1" x14ac:dyDescent="0.2">
      <c r="A45">
        <v>10825.133097539481</v>
      </c>
    </row>
    <row r="46" spans="1:1" x14ac:dyDescent="0.2">
      <c r="A46">
        <v>515.79670905738021</v>
      </c>
    </row>
    <row r="47" spans="1:1" x14ac:dyDescent="0.2">
      <c r="A47">
        <v>-108.66832699070801</v>
      </c>
    </row>
    <row r="48" spans="1:1" x14ac:dyDescent="0.2">
      <c r="A48">
        <v>8323.965319115785</v>
      </c>
    </row>
    <row r="49" spans="1:1" x14ac:dyDescent="0.2">
      <c r="A49">
        <v>-1055.2510104684916</v>
      </c>
    </row>
    <row r="50" spans="1:1" x14ac:dyDescent="0.2">
      <c r="A50">
        <v>-25755.825193614175</v>
      </c>
    </row>
    <row r="51" spans="1:1" x14ac:dyDescent="0.2">
      <c r="A51">
        <v>18605.568624616484</v>
      </c>
    </row>
    <row r="52" spans="1:1" x14ac:dyDescent="0.2">
      <c r="A52">
        <v>12575.90360707551</v>
      </c>
    </row>
    <row r="53" spans="1:1" x14ac:dyDescent="0.2">
      <c r="A53">
        <v>1071.2541894783499</v>
      </c>
    </row>
    <row r="54" spans="1:1" x14ac:dyDescent="0.2">
      <c r="A54">
        <v>1869.7527351627359</v>
      </c>
    </row>
    <row r="55" spans="1:1" x14ac:dyDescent="0.2">
      <c r="A55">
        <v>7189.2425975482911</v>
      </c>
    </row>
    <row r="56" spans="1:1" x14ac:dyDescent="0.2">
      <c r="A56">
        <v>17981.867888285313</v>
      </c>
    </row>
    <row r="57" spans="1:1" x14ac:dyDescent="0.2">
      <c r="A57">
        <v>3393.0555686139851</v>
      </c>
    </row>
    <row r="58" spans="1:1" x14ac:dyDescent="0.2">
      <c r="A58">
        <v>5101.0535595830879</v>
      </c>
    </row>
    <row r="59" spans="1:1" x14ac:dyDescent="0.2">
      <c r="A59">
        <v>23385.968076845791</v>
      </c>
    </row>
    <row r="60" spans="1:1" x14ac:dyDescent="0.2">
      <c r="A60">
        <v>-3584.1744110852596</v>
      </c>
    </row>
    <row r="61" spans="1:1" x14ac:dyDescent="0.2">
      <c r="A61">
        <v>14689.384938589821</v>
      </c>
    </row>
    <row r="62" spans="1:1" x14ac:dyDescent="0.2">
      <c r="A62">
        <v>11513.532668755099</v>
      </c>
    </row>
    <row r="63" spans="1:1" x14ac:dyDescent="0.2">
      <c r="A63">
        <v>9001.272998221044</v>
      </c>
    </row>
    <row r="64" spans="1:1" x14ac:dyDescent="0.2">
      <c r="A64">
        <v>-1167.6494456833461</v>
      </c>
    </row>
    <row r="65" spans="1:1" x14ac:dyDescent="0.2">
      <c r="A65">
        <v>6926.4417555620312</v>
      </c>
    </row>
    <row r="66" spans="1:1" x14ac:dyDescent="0.2">
      <c r="A66">
        <v>1611.1109066318022</v>
      </c>
    </row>
    <row r="67" spans="1:1" x14ac:dyDescent="0.2">
      <c r="A67">
        <v>14396.917140787875</v>
      </c>
    </row>
    <row r="68" spans="1:1" x14ac:dyDescent="0.2">
      <c r="A68">
        <v>5286.2543804847519</v>
      </c>
    </row>
    <row r="69" spans="1:1" x14ac:dyDescent="0.2">
      <c r="A69">
        <v>11150.305580305867</v>
      </c>
    </row>
    <row r="70" spans="1:1" x14ac:dyDescent="0.2">
      <c r="A70">
        <v>-7617.260697364778</v>
      </c>
    </row>
    <row r="71" spans="1:1" x14ac:dyDescent="0.2">
      <c r="A71">
        <v>-1234.983696842799</v>
      </c>
    </row>
    <row r="72" spans="1:1" x14ac:dyDescent="0.2">
      <c r="A72">
        <v>7047.0310673631029</v>
      </c>
    </row>
    <row r="73" spans="1:1" x14ac:dyDescent="0.2">
      <c r="A73">
        <v>1760.8796219740179</v>
      </c>
    </row>
    <row r="74" spans="1:1" x14ac:dyDescent="0.2">
      <c r="A74">
        <v>5843.9398690766538</v>
      </c>
    </row>
    <row r="75" spans="1:1" x14ac:dyDescent="0.2">
      <c r="A75">
        <v>-5813.1327222272521</v>
      </c>
    </row>
    <row r="76" spans="1:1" x14ac:dyDescent="0.2">
      <c r="A76">
        <v>2135.6288349714014</v>
      </c>
    </row>
    <row r="77" spans="1:1" x14ac:dyDescent="0.2">
      <c r="A77">
        <v>-7872.7736031072563</v>
      </c>
    </row>
    <row r="78" spans="1:1" x14ac:dyDescent="0.2">
      <c r="A78">
        <v>1216.1272775787947</v>
      </c>
    </row>
    <row r="79" spans="1:1" x14ac:dyDescent="0.2">
      <c r="A79">
        <v>-8317.027314511186</v>
      </c>
    </row>
    <row r="80" spans="1:1" x14ac:dyDescent="0.2">
      <c r="A80">
        <v>1787.1045845559565</v>
      </c>
    </row>
    <row r="81" spans="1:1" x14ac:dyDescent="0.2">
      <c r="A81">
        <v>-17237.938262593118</v>
      </c>
    </row>
    <row r="82" spans="1:1" x14ac:dyDescent="0.2">
      <c r="A82">
        <v>10670.98754667028</v>
      </c>
    </row>
    <row r="83" spans="1:1" x14ac:dyDescent="0.2">
      <c r="A83">
        <v>-17362.172192369209</v>
      </c>
    </row>
    <row r="84" spans="1:1" x14ac:dyDescent="0.2">
      <c r="A84">
        <v>-5650.3396557538072</v>
      </c>
    </row>
    <row r="85" spans="1:1" x14ac:dyDescent="0.2">
      <c r="A85">
        <v>-3163.0483551815851</v>
      </c>
    </row>
    <row r="86" spans="1:1" x14ac:dyDescent="0.2">
      <c r="A86">
        <v>14757.588204624073</v>
      </c>
    </row>
    <row r="87" spans="1:1" x14ac:dyDescent="0.2">
      <c r="A87">
        <v>-8546.5535775645112</v>
      </c>
    </row>
    <row r="88" spans="1:1" x14ac:dyDescent="0.2">
      <c r="A88">
        <v>16471.733701125864</v>
      </c>
    </row>
    <row r="89" spans="1:1" x14ac:dyDescent="0.2">
      <c r="A89">
        <v>6417.9016147279763</v>
      </c>
    </row>
    <row r="90" spans="1:1" x14ac:dyDescent="0.2">
      <c r="A90">
        <v>7235.777805756341</v>
      </c>
    </row>
    <row r="91" spans="1:1" x14ac:dyDescent="0.2">
      <c r="A91">
        <v>11283.350349291752</v>
      </c>
    </row>
    <row r="92" spans="1:1" x14ac:dyDescent="0.2">
      <c r="A92">
        <v>5061.5686492530222</v>
      </c>
    </row>
    <row r="93" spans="1:1" x14ac:dyDescent="0.2">
      <c r="A93">
        <v>-5599.1722305522417</v>
      </c>
    </row>
    <row r="94" spans="1:1" x14ac:dyDescent="0.2">
      <c r="A94">
        <v>11020.20265947259</v>
      </c>
    </row>
    <row r="95" spans="1:1" x14ac:dyDescent="0.2">
      <c r="A95">
        <v>11111.621467242367</v>
      </c>
    </row>
    <row r="96" spans="1:1" x14ac:dyDescent="0.2">
      <c r="A96">
        <v>-4988.3446833880444</v>
      </c>
    </row>
    <row r="97" spans="1:1" x14ac:dyDescent="0.2">
      <c r="A97">
        <v>10868.946514908457</v>
      </c>
    </row>
    <row r="98" spans="1:1" x14ac:dyDescent="0.2">
      <c r="A98">
        <v>8731.0480384461116</v>
      </c>
    </row>
    <row r="99" spans="1:1" x14ac:dyDescent="0.2">
      <c r="A99">
        <v>-5344.5113055210677</v>
      </c>
    </row>
    <row r="100" spans="1:1" x14ac:dyDescent="0.2">
      <c r="A100">
        <v>926.05312184107606</v>
      </c>
    </row>
    <row r="101" spans="1:1" x14ac:dyDescent="0.2">
      <c r="A101">
        <v>6080.5504761156044</v>
      </c>
    </row>
    <row r="102" spans="1:1" x14ac:dyDescent="0.2">
      <c r="A102">
        <v>6824.3738815724209</v>
      </c>
    </row>
    <row r="103" spans="1:1" x14ac:dyDescent="0.2">
      <c r="A103">
        <v>2966.1124599500909</v>
      </c>
    </row>
    <row r="104" spans="1:1" x14ac:dyDescent="0.2">
      <c r="A104">
        <v>-20846.943653143651</v>
      </c>
    </row>
    <row r="105" spans="1:1" x14ac:dyDescent="0.2">
      <c r="A105">
        <v>3052.8623146843165</v>
      </c>
    </row>
    <row r="106" spans="1:1" x14ac:dyDescent="0.2">
      <c r="A106">
        <v>12336.257501091284</v>
      </c>
    </row>
    <row r="107" spans="1:1" x14ac:dyDescent="0.2">
      <c r="A107">
        <v>-3665.5161570648197</v>
      </c>
    </row>
    <row r="108" spans="1:1" x14ac:dyDescent="0.2">
      <c r="A108">
        <v>-23493.654283786716</v>
      </c>
    </row>
    <row r="109" spans="1:1" x14ac:dyDescent="0.2">
      <c r="A109">
        <v>-1055.7941928298678</v>
      </c>
    </row>
    <row r="110" spans="1:1" x14ac:dyDescent="0.2">
      <c r="A110">
        <v>7185.8583502838737</v>
      </c>
    </row>
    <row r="111" spans="1:1" x14ac:dyDescent="0.2">
      <c r="A111">
        <v>10607.39191061593</v>
      </c>
    </row>
    <row r="112" spans="1:1" x14ac:dyDescent="0.2">
      <c r="A112">
        <v>2130.7620152586896</v>
      </c>
    </row>
    <row r="113" spans="1:1" x14ac:dyDescent="0.2">
      <c r="A113">
        <v>8686.6692823370104</v>
      </c>
    </row>
    <row r="114" spans="1:1" x14ac:dyDescent="0.2">
      <c r="A114">
        <v>1007.1216658774647</v>
      </c>
    </row>
    <row r="115" spans="1:1" x14ac:dyDescent="0.2">
      <c r="A115">
        <v>-14484.834305690048</v>
      </c>
    </row>
    <row r="116" spans="1:1" x14ac:dyDescent="0.2">
      <c r="A116">
        <v>-25686.511582753505</v>
      </c>
    </row>
    <row r="117" spans="1:1" x14ac:dyDescent="0.2">
      <c r="A117">
        <v>2956.4888262893655</v>
      </c>
    </row>
    <row r="118" spans="1:1" x14ac:dyDescent="0.2">
      <c r="A118">
        <v>9501.4567835199705</v>
      </c>
    </row>
    <row r="119" spans="1:1" x14ac:dyDescent="0.2">
      <c r="A119">
        <v>-12138.936793639412</v>
      </c>
    </row>
    <row r="120" spans="1:1" x14ac:dyDescent="0.2">
      <c r="A120">
        <v>17110.891936626955</v>
      </c>
    </row>
    <row r="121" spans="1:1" x14ac:dyDescent="0.2">
      <c r="A121">
        <v>14882.723051570356</v>
      </c>
    </row>
    <row r="122" spans="1:1" x14ac:dyDescent="0.2">
      <c r="A122">
        <v>579.90420071681729</v>
      </c>
    </row>
    <row r="123" spans="1:1" x14ac:dyDescent="0.2">
      <c r="A123">
        <v>-22882.154075559607</v>
      </c>
    </row>
    <row r="124" spans="1:1" x14ac:dyDescent="0.2">
      <c r="A124">
        <v>5550.920807039598</v>
      </c>
    </row>
    <row r="125" spans="1:1" x14ac:dyDescent="0.2">
      <c r="A125">
        <v>3196.0875656989519</v>
      </c>
    </row>
    <row r="126" spans="1:1" x14ac:dyDescent="0.2">
      <c r="A126">
        <v>13846.188318713161</v>
      </c>
    </row>
    <row r="127" spans="1:1" x14ac:dyDescent="0.2">
      <c r="A127">
        <v>11294.199918586906</v>
      </c>
    </row>
    <row r="128" spans="1:1" x14ac:dyDescent="0.2">
      <c r="A128">
        <v>-2708.0935587886197</v>
      </c>
    </row>
    <row r="129" spans="1:1" x14ac:dyDescent="0.2">
      <c r="A129">
        <v>17578.771768859006</v>
      </c>
    </row>
    <row r="130" spans="1:1" x14ac:dyDescent="0.2">
      <c r="A130">
        <v>629.31686129193986</v>
      </c>
    </row>
    <row r="131" spans="1:1" x14ac:dyDescent="0.2">
      <c r="A131">
        <v>4409.2326572607271</v>
      </c>
    </row>
    <row r="132" spans="1:1" x14ac:dyDescent="0.2">
      <c r="A132">
        <v>-17106.677122155204</v>
      </c>
    </row>
    <row r="133" spans="1:1" x14ac:dyDescent="0.2">
      <c r="A133">
        <v>-12640.794042005029</v>
      </c>
    </row>
    <row r="134" spans="1:1" x14ac:dyDescent="0.2">
      <c r="A134">
        <v>-7668.8099480223318</v>
      </c>
    </row>
    <row r="135" spans="1:1" x14ac:dyDescent="0.2">
      <c r="A135">
        <v>8440.0000517914887</v>
      </c>
    </row>
    <row r="136" spans="1:1" x14ac:dyDescent="0.2">
      <c r="A136">
        <v>17417.299469210819</v>
      </c>
    </row>
    <row r="137" spans="1:1" x14ac:dyDescent="0.2">
      <c r="A137">
        <v>-3294.7883678949147</v>
      </c>
    </row>
    <row r="138" spans="1:1" x14ac:dyDescent="0.2">
      <c r="A138">
        <v>4625.0238201189495</v>
      </c>
    </row>
    <row r="139" spans="1:1" x14ac:dyDescent="0.2">
      <c r="A139">
        <v>-1957.9695268712821</v>
      </c>
    </row>
    <row r="140" spans="1:1" x14ac:dyDescent="0.2">
      <c r="A140">
        <v>-9850.450984086754</v>
      </c>
    </row>
    <row r="141" spans="1:1" x14ac:dyDescent="0.2">
      <c r="A141">
        <v>9768.5799638375174</v>
      </c>
    </row>
    <row r="142" spans="1:1" x14ac:dyDescent="0.2">
      <c r="A142">
        <v>9749.8442444006214</v>
      </c>
    </row>
    <row r="143" spans="1:1" x14ac:dyDescent="0.2">
      <c r="A143">
        <v>1736.0396349434741</v>
      </c>
    </row>
    <row r="144" spans="1:1" x14ac:dyDescent="0.2">
      <c r="A144">
        <v>12131.417873405619</v>
      </c>
    </row>
    <row r="145" spans="1:1" x14ac:dyDescent="0.2">
      <c r="A145">
        <v>-2214.7366581722454</v>
      </c>
    </row>
    <row r="146" spans="1:1" x14ac:dyDescent="0.2">
      <c r="A146">
        <v>2271.7059300852416</v>
      </c>
    </row>
    <row r="147" spans="1:1" x14ac:dyDescent="0.2">
      <c r="A147">
        <v>-1085.8302549241635</v>
      </c>
    </row>
    <row r="148" spans="1:1" x14ac:dyDescent="0.2">
      <c r="A148">
        <v>7076.0257183045906</v>
      </c>
    </row>
    <row r="149" spans="1:1" x14ac:dyDescent="0.2">
      <c r="A149">
        <v>6812.6668404492084</v>
      </c>
    </row>
    <row r="150" spans="1:1" x14ac:dyDescent="0.2">
      <c r="A150">
        <v>12170.714957692195</v>
      </c>
    </row>
    <row r="151" spans="1:1" x14ac:dyDescent="0.2">
      <c r="A151">
        <v>11214.547463890776</v>
      </c>
    </row>
    <row r="152" spans="1:1" x14ac:dyDescent="0.2">
      <c r="A152">
        <v>-2890.4084252202592</v>
      </c>
    </row>
    <row r="153" spans="1:1" x14ac:dyDescent="0.2">
      <c r="A153">
        <v>-11281.701874296239</v>
      </c>
    </row>
    <row r="154" spans="1:1" x14ac:dyDescent="0.2">
      <c r="A154">
        <v>13997.131113519368</v>
      </c>
    </row>
    <row r="155" spans="1:1" x14ac:dyDescent="0.2">
      <c r="A155">
        <v>-26386.887877804751</v>
      </c>
    </row>
    <row r="156" spans="1:1" x14ac:dyDescent="0.2">
      <c r="A156">
        <v>-6661.4947341904044</v>
      </c>
    </row>
    <row r="157" spans="1:1" x14ac:dyDescent="0.2">
      <c r="A157">
        <v>12878.668604577426</v>
      </c>
    </row>
    <row r="158" spans="1:1" x14ac:dyDescent="0.2">
      <c r="A158">
        <v>20883.485578117368</v>
      </c>
    </row>
    <row r="159" spans="1:1" x14ac:dyDescent="0.2">
      <c r="A159">
        <v>4023.0828760553268</v>
      </c>
    </row>
    <row r="160" spans="1:1" x14ac:dyDescent="0.2">
      <c r="A160">
        <v>14780.774505089998</v>
      </c>
    </row>
    <row r="161" spans="1:1" x14ac:dyDescent="0.2">
      <c r="A161">
        <v>2179.1311418585829</v>
      </c>
    </row>
    <row r="162" spans="1:1" x14ac:dyDescent="0.2">
      <c r="A162">
        <v>2764.2655490663892</v>
      </c>
    </row>
    <row r="163" spans="1:1" x14ac:dyDescent="0.2">
      <c r="A163">
        <v>8996.130655818386</v>
      </c>
    </row>
    <row r="164" spans="1:1" x14ac:dyDescent="0.2">
      <c r="A164">
        <v>5869.1506672005053</v>
      </c>
    </row>
    <row r="165" spans="1:1" x14ac:dyDescent="0.2">
      <c r="A165">
        <v>5169.2668166887597</v>
      </c>
    </row>
    <row r="166" spans="1:1" x14ac:dyDescent="0.2">
      <c r="A166">
        <v>225.66136796536739</v>
      </c>
    </row>
    <row r="167" spans="1:1" x14ac:dyDescent="0.2">
      <c r="A167">
        <v>-8566.0610049272655</v>
      </c>
    </row>
    <row r="168" spans="1:1" x14ac:dyDescent="0.2">
      <c r="A168">
        <v>14327.869827976043</v>
      </c>
    </row>
    <row r="169" spans="1:1" x14ac:dyDescent="0.2">
      <c r="A169">
        <v>14907.705880934096</v>
      </c>
    </row>
    <row r="170" spans="1:1" x14ac:dyDescent="0.2">
      <c r="A170">
        <v>8436.9623797142704</v>
      </c>
    </row>
    <row r="171" spans="1:1" x14ac:dyDescent="0.2">
      <c r="A171">
        <v>-28885.995201236336</v>
      </c>
    </row>
    <row r="172" spans="1:1" x14ac:dyDescent="0.2">
      <c r="A172">
        <v>-3060.7401217325532</v>
      </c>
    </row>
    <row r="173" spans="1:1" x14ac:dyDescent="0.2">
      <c r="A173">
        <v>-8009.6931650522165</v>
      </c>
    </row>
    <row r="174" spans="1:1" x14ac:dyDescent="0.2">
      <c r="A174">
        <v>-546.47799962997669</v>
      </c>
    </row>
    <row r="175" spans="1:1" x14ac:dyDescent="0.2">
      <c r="A175">
        <v>-666.57660350721562</v>
      </c>
    </row>
    <row r="176" spans="1:1" x14ac:dyDescent="0.2">
      <c r="A176">
        <v>-890.98706765563111</v>
      </c>
    </row>
    <row r="177" spans="1:1" x14ac:dyDescent="0.2">
      <c r="A177">
        <v>4950.1503605521866</v>
      </c>
    </row>
    <row r="178" spans="1:1" x14ac:dyDescent="0.2">
      <c r="A178">
        <v>7133.3509077696945</v>
      </c>
    </row>
    <row r="179" spans="1:1" x14ac:dyDescent="0.2">
      <c r="A179">
        <v>-20056.865188591939</v>
      </c>
    </row>
    <row r="180" spans="1:1" x14ac:dyDescent="0.2">
      <c r="A180">
        <v>-14460.487780596653</v>
      </c>
    </row>
    <row r="181" spans="1:1" x14ac:dyDescent="0.2">
      <c r="A181">
        <v>-8606.4146075166645</v>
      </c>
    </row>
    <row r="182" spans="1:1" x14ac:dyDescent="0.2">
      <c r="A182">
        <v>-16286.304577121511</v>
      </c>
    </row>
    <row r="183" spans="1:1" x14ac:dyDescent="0.2">
      <c r="A183">
        <v>13234.311024088238</v>
      </c>
    </row>
    <row r="184" spans="1:1" x14ac:dyDescent="0.2">
      <c r="A184">
        <v>7531.1653266708745</v>
      </c>
    </row>
    <row r="185" spans="1:1" x14ac:dyDescent="0.2">
      <c r="A185">
        <v>-6940.6896684311214</v>
      </c>
    </row>
    <row r="186" spans="1:1" x14ac:dyDescent="0.2">
      <c r="A186">
        <v>-2041.1441178365785</v>
      </c>
    </row>
    <row r="187" spans="1:1" x14ac:dyDescent="0.2">
      <c r="A187">
        <v>6419.4046072594647</v>
      </c>
    </row>
    <row r="188" spans="1:1" x14ac:dyDescent="0.2">
      <c r="A188">
        <v>6398.7389013023349</v>
      </c>
    </row>
    <row r="189" spans="1:1" x14ac:dyDescent="0.2">
      <c r="A189">
        <v>1993.4040144237515</v>
      </c>
    </row>
    <row r="190" spans="1:1" x14ac:dyDescent="0.2">
      <c r="A190">
        <v>-3026.5668844237807</v>
      </c>
    </row>
    <row r="191" spans="1:1" x14ac:dyDescent="0.2">
      <c r="A191">
        <v>-5556.9495169530855</v>
      </c>
    </row>
    <row r="192" spans="1:1" x14ac:dyDescent="0.2">
      <c r="A192">
        <v>6184.5715087068384</v>
      </c>
    </row>
    <row r="193" spans="1:1" x14ac:dyDescent="0.2">
      <c r="A193">
        <v>1167.3679912451771</v>
      </c>
    </row>
    <row r="194" spans="1:1" x14ac:dyDescent="0.2">
      <c r="A194">
        <v>10744.597989766015</v>
      </c>
    </row>
    <row r="195" spans="1:1" x14ac:dyDescent="0.2">
      <c r="A195">
        <v>1590.9548943096888</v>
      </c>
    </row>
    <row r="196" spans="1:1" x14ac:dyDescent="0.2">
      <c r="A196">
        <v>-70.85171658633044</v>
      </c>
    </row>
    <row r="197" spans="1:1" x14ac:dyDescent="0.2">
      <c r="A197">
        <v>5418.5368476083095</v>
      </c>
    </row>
    <row r="198" spans="1:1" x14ac:dyDescent="0.2">
      <c r="A198">
        <v>12178.29852594246</v>
      </c>
    </row>
    <row r="199" spans="1:1" x14ac:dyDescent="0.2">
      <c r="A199">
        <v>-18640.79149613512</v>
      </c>
    </row>
    <row r="200" spans="1:1" x14ac:dyDescent="0.2">
      <c r="A200">
        <v>-10503.147815789896</v>
      </c>
    </row>
    <row r="201" spans="1:1" x14ac:dyDescent="0.2">
      <c r="A201">
        <v>9613.1578363279405</v>
      </c>
    </row>
    <row r="202" spans="1:1" x14ac:dyDescent="0.2">
      <c r="A202">
        <v>-14330.751583319739</v>
      </c>
    </row>
    <row r="203" spans="1:1" x14ac:dyDescent="0.2">
      <c r="A203">
        <v>-5810.3553364081308</v>
      </c>
    </row>
    <row r="204" spans="1:1" x14ac:dyDescent="0.2">
      <c r="A204">
        <v>-5031.9916213764809</v>
      </c>
    </row>
    <row r="205" spans="1:1" x14ac:dyDescent="0.2">
      <c r="A205">
        <v>7451.7387895631546</v>
      </c>
    </row>
    <row r="206" spans="1:1" x14ac:dyDescent="0.2">
      <c r="A206">
        <v>7555.279252843</v>
      </c>
    </row>
    <row r="207" spans="1:1" x14ac:dyDescent="0.2">
      <c r="A207">
        <v>-15352.934362211206</v>
      </c>
    </row>
    <row r="208" spans="1:1" x14ac:dyDescent="0.2">
      <c r="A208">
        <v>11386.220214636152</v>
      </c>
    </row>
    <row r="209" spans="1:1" x14ac:dyDescent="0.2">
      <c r="A209">
        <v>8504.5904556888272</v>
      </c>
    </row>
    <row r="210" spans="1:1" x14ac:dyDescent="0.2">
      <c r="A210">
        <v>-304.69896342925495</v>
      </c>
    </row>
    <row r="211" spans="1:1" x14ac:dyDescent="0.2">
      <c r="A211">
        <v>-4579.5132304420113</v>
      </c>
    </row>
    <row r="212" spans="1:1" x14ac:dyDescent="0.2">
      <c r="A212">
        <v>5590.2349110058858</v>
      </c>
    </row>
    <row r="213" spans="1:1" x14ac:dyDescent="0.2">
      <c r="A213">
        <v>3950.7316416784888</v>
      </c>
    </row>
    <row r="214" spans="1:1" x14ac:dyDescent="0.2">
      <c r="A214">
        <v>-2959.6695042428037</v>
      </c>
    </row>
    <row r="215" spans="1:1" x14ac:dyDescent="0.2">
      <c r="A215">
        <v>21106.765662157894</v>
      </c>
    </row>
    <row r="216" spans="1:1" x14ac:dyDescent="0.2">
      <c r="A216">
        <v>-983.5823501025734</v>
      </c>
    </row>
    <row r="217" spans="1:1" x14ac:dyDescent="0.2">
      <c r="A217">
        <v>4525.6157454327331</v>
      </c>
    </row>
    <row r="218" spans="1:1" x14ac:dyDescent="0.2">
      <c r="A218">
        <v>777.24798829253996</v>
      </c>
    </row>
    <row r="219" spans="1:1" x14ac:dyDescent="0.2">
      <c r="A219">
        <v>8495.6149815141689</v>
      </c>
    </row>
    <row r="220" spans="1:1" x14ac:dyDescent="0.2">
      <c r="A220">
        <v>222.44292983424384</v>
      </c>
    </row>
    <row r="221" spans="1:1" x14ac:dyDescent="0.2">
      <c r="A221">
        <v>-11763.930841871887</v>
      </c>
    </row>
    <row r="222" spans="1:1" x14ac:dyDescent="0.2">
      <c r="A222">
        <v>1790.9449832625105</v>
      </c>
    </row>
    <row r="223" spans="1:1" x14ac:dyDescent="0.2">
      <c r="A223">
        <v>-7401.1549446737044</v>
      </c>
    </row>
    <row r="224" spans="1:1" x14ac:dyDescent="0.2">
      <c r="A224">
        <v>5277.7340320447111</v>
      </c>
    </row>
    <row r="225" spans="1:1" x14ac:dyDescent="0.2">
      <c r="A225">
        <v>3631.2643556200492</v>
      </c>
    </row>
    <row r="226" spans="1:1" x14ac:dyDescent="0.2">
      <c r="A226">
        <v>3712.6203473347705</v>
      </c>
    </row>
    <row r="227" spans="1:1" x14ac:dyDescent="0.2">
      <c r="A227">
        <v>184.09968311619014</v>
      </c>
    </row>
    <row r="228" spans="1:1" x14ac:dyDescent="0.2">
      <c r="A228">
        <v>-24232.240469987824</v>
      </c>
    </row>
    <row r="229" spans="1:1" x14ac:dyDescent="0.2">
      <c r="A229">
        <v>8701.3970899090637</v>
      </c>
    </row>
    <row r="230" spans="1:1" x14ac:dyDescent="0.2">
      <c r="A230">
        <v>22603.637699124287</v>
      </c>
    </row>
    <row r="231" spans="1:1" x14ac:dyDescent="0.2">
      <c r="A231">
        <v>10050.177641384449</v>
      </c>
    </row>
    <row r="232" spans="1:1" x14ac:dyDescent="0.2">
      <c r="A232">
        <v>-3997.4074694166193</v>
      </c>
    </row>
    <row r="233" spans="1:1" x14ac:dyDescent="0.2">
      <c r="A233">
        <v>12175.339566608658</v>
      </c>
    </row>
    <row r="234" spans="1:1" x14ac:dyDescent="0.2">
      <c r="A234">
        <v>-675.57757303121616</v>
      </c>
    </row>
    <row r="235" spans="1:1" x14ac:dyDescent="0.2">
      <c r="A235">
        <v>-10499.918051506625</v>
      </c>
    </row>
    <row r="236" spans="1:1" x14ac:dyDescent="0.2">
      <c r="A236">
        <v>-8126.1642765997676</v>
      </c>
    </row>
    <row r="237" spans="1:1" x14ac:dyDescent="0.2">
      <c r="A237">
        <v>-20535.955539092887</v>
      </c>
    </row>
    <row r="238" spans="1:1" x14ac:dyDescent="0.2">
      <c r="A238">
        <v>3134.1484199501574</v>
      </c>
    </row>
    <row r="239" spans="1:1" x14ac:dyDescent="0.2">
      <c r="A239">
        <v>11650.598831020994</v>
      </c>
    </row>
    <row r="240" spans="1:1" x14ac:dyDescent="0.2">
      <c r="A240">
        <v>6886.6689071057772</v>
      </c>
    </row>
    <row r="241" spans="1:1" x14ac:dyDescent="0.2">
      <c r="A241">
        <v>744.98753624933306</v>
      </c>
    </row>
    <row r="242" spans="1:1" x14ac:dyDescent="0.2">
      <c r="A242">
        <v>-10109.760138603451</v>
      </c>
    </row>
    <row r="243" spans="1:1" x14ac:dyDescent="0.2">
      <c r="A243">
        <v>5887.5907848484349</v>
      </c>
    </row>
    <row r="244" spans="1:1" x14ac:dyDescent="0.2">
      <c r="A244">
        <v>439.21078511473024</v>
      </c>
    </row>
    <row r="245" spans="1:1" x14ac:dyDescent="0.2">
      <c r="A245">
        <v>-2238.3225545590976</v>
      </c>
    </row>
    <row r="246" spans="1:1" x14ac:dyDescent="0.2">
      <c r="A246">
        <v>9513.0987430858077</v>
      </c>
    </row>
    <row r="247" spans="1:1" x14ac:dyDescent="0.2">
      <c r="A247">
        <v>-3611.4190074616927</v>
      </c>
    </row>
    <row r="248" spans="1:1" x14ac:dyDescent="0.2">
      <c r="A248">
        <v>-5634.2356620386709</v>
      </c>
    </row>
    <row r="249" spans="1:1" x14ac:dyDescent="0.2">
      <c r="A249">
        <v>-66.3323834699695</v>
      </c>
    </row>
    <row r="250" spans="1:1" x14ac:dyDescent="0.2">
      <c r="A250">
        <v>13276.57942036551</v>
      </c>
    </row>
    <row r="251" spans="1:1" x14ac:dyDescent="0.2">
      <c r="A251">
        <v>13049.416181100067</v>
      </c>
    </row>
    <row r="252" spans="1:1" x14ac:dyDescent="0.2">
      <c r="A252">
        <v>2871.6316665949707</v>
      </c>
    </row>
    <row r="253" spans="1:1" x14ac:dyDescent="0.2">
      <c r="A253">
        <v>9175.5983338856895</v>
      </c>
    </row>
    <row r="254" spans="1:1" x14ac:dyDescent="0.2">
      <c r="A254">
        <v>149.86592350126011</v>
      </c>
    </row>
    <row r="255" spans="1:1" x14ac:dyDescent="0.2">
      <c r="A255">
        <v>867.25376004219288</v>
      </c>
    </row>
    <row r="256" spans="1:1" x14ac:dyDescent="0.2">
      <c r="A256">
        <v>-2947.3458054863149</v>
      </c>
    </row>
    <row r="257" spans="1:1" x14ac:dyDescent="0.2">
      <c r="A257">
        <v>-5879.7939078915806</v>
      </c>
    </row>
    <row r="258" spans="1:1" x14ac:dyDescent="0.2">
      <c r="A258">
        <v>14382.260220862285</v>
      </c>
    </row>
    <row r="259" spans="1:1" x14ac:dyDescent="0.2">
      <c r="A259">
        <v>-7532.2612525062577</v>
      </c>
    </row>
    <row r="260" spans="1:1" x14ac:dyDescent="0.2">
      <c r="A260">
        <v>-4068.1370247309096</v>
      </c>
    </row>
    <row r="261" spans="1:1" x14ac:dyDescent="0.2">
      <c r="A261">
        <v>3500.1628506023553</v>
      </c>
    </row>
    <row r="262" spans="1:1" x14ac:dyDescent="0.2">
      <c r="A262">
        <v>9304.5231547473813</v>
      </c>
    </row>
    <row r="263" spans="1:1" x14ac:dyDescent="0.2">
      <c r="A263">
        <v>-1113.3086237145471</v>
      </c>
    </row>
    <row r="264" spans="1:1" x14ac:dyDescent="0.2">
      <c r="A264">
        <v>1890.530539864325</v>
      </c>
    </row>
    <row r="265" spans="1:1" x14ac:dyDescent="0.2">
      <c r="A265">
        <v>-3328.475989553699</v>
      </c>
    </row>
    <row r="266" spans="1:1" x14ac:dyDescent="0.2">
      <c r="A266">
        <v>-436.64263694244437</v>
      </c>
    </row>
    <row r="267" spans="1:1" x14ac:dyDescent="0.2">
      <c r="A267">
        <v>-4694.4092655591085</v>
      </c>
    </row>
    <row r="268" spans="1:1" x14ac:dyDescent="0.2">
      <c r="A268">
        <v>148.59008393008844</v>
      </c>
    </row>
    <row r="269" spans="1:1" x14ac:dyDescent="0.2">
      <c r="A269">
        <v>10573.343878278945</v>
      </c>
    </row>
    <row r="270" spans="1:1" x14ac:dyDescent="0.2">
      <c r="A270">
        <v>-19301.753869268927</v>
      </c>
    </row>
    <row r="271" spans="1:1" x14ac:dyDescent="0.2">
      <c r="A271">
        <v>2654.3152752407186</v>
      </c>
    </row>
    <row r="272" spans="1:1" x14ac:dyDescent="0.2">
      <c r="A272">
        <v>-261.9355668794451</v>
      </c>
    </row>
    <row r="273" spans="1:1" x14ac:dyDescent="0.2">
      <c r="A273">
        <v>2904.7174703530036</v>
      </c>
    </row>
    <row r="274" spans="1:1" x14ac:dyDescent="0.2">
      <c r="A274">
        <v>9959.8376386999735</v>
      </c>
    </row>
    <row r="275" spans="1:1" x14ac:dyDescent="0.2">
      <c r="A275">
        <v>9636.5538862181711</v>
      </c>
    </row>
    <row r="276" spans="1:1" x14ac:dyDescent="0.2">
      <c r="A276">
        <v>-2701.3084760660131</v>
      </c>
    </row>
    <row r="277" spans="1:1" x14ac:dyDescent="0.2">
      <c r="A277">
        <v>1294.8332583682204</v>
      </c>
    </row>
    <row r="278" spans="1:1" x14ac:dyDescent="0.2">
      <c r="A278">
        <v>-3784.1578034720733</v>
      </c>
    </row>
    <row r="279" spans="1:1" x14ac:dyDescent="0.2">
      <c r="A279">
        <v>999.65431594493566</v>
      </c>
    </row>
    <row r="280" spans="1:1" x14ac:dyDescent="0.2">
      <c r="A280">
        <v>-4380.899005779007</v>
      </c>
    </row>
    <row r="281" spans="1:1" x14ac:dyDescent="0.2">
      <c r="A281">
        <v>1054.5020735334547</v>
      </c>
    </row>
    <row r="282" spans="1:1" x14ac:dyDescent="0.2">
      <c r="A282">
        <v>-9272.222319362525</v>
      </c>
    </row>
    <row r="283" spans="1:1" x14ac:dyDescent="0.2">
      <c r="A283">
        <v>-9684.3398184750404</v>
      </c>
    </row>
    <row r="284" spans="1:1" x14ac:dyDescent="0.2">
      <c r="A284">
        <v>-2240.4830555904773</v>
      </c>
    </row>
    <row r="285" spans="1:1" x14ac:dyDescent="0.2">
      <c r="A285">
        <v>8231.484269652603</v>
      </c>
    </row>
    <row r="286" spans="1:1" x14ac:dyDescent="0.2">
      <c r="A286">
        <v>1732.4716363990447</v>
      </c>
    </row>
    <row r="287" spans="1:1" x14ac:dyDescent="0.2">
      <c r="A287">
        <v>10811.071429421543</v>
      </c>
    </row>
    <row r="288" spans="1:1" x14ac:dyDescent="0.2">
      <c r="A288">
        <v>2557.0982283895428</v>
      </c>
    </row>
    <row r="289" spans="1:1" x14ac:dyDescent="0.2">
      <c r="A289">
        <v>-8828.7343826196739</v>
      </c>
    </row>
    <row r="290" spans="1:1" x14ac:dyDescent="0.2">
      <c r="A290">
        <v>2530.8161630641262</v>
      </c>
    </row>
    <row r="291" spans="1:1" x14ac:dyDescent="0.2">
      <c r="A291">
        <v>11747.90772985731</v>
      </c>
    </row>
    <row r="292" spans="1:1" x14ac:dyDescent="0.2">
      <c r="A292">
        <v>21915.018783598614</v>
      </c>
    </row>
    <row r="293" spans="1:1" x14ac:dyDescent="0.2">
      <c r="A293">
        <v>-17004.555091672897</v>
      </c>
    </row>
    <row r="294" spans="1:1" x14ac:dyDescent="0.2">
      <c r="A294">
        <v>3746.5228123328416</v>
      </c>
    </row>
    <row r="295" spans="1:1" x14ac:dyDescent="0.2">
      <c r="A295">
        <v>4463.6733172062959</v>
      </c>
    </row>
    <row r="296" spans="1:1" x14ac:dyDescent="0.2">
      <c r="A296">
        <v>632.16890384134604</v>
      </c>
    </row>
    <row r="297" spans="1:1" x14ac:dyDescent="0.2">
      <c r="A297">
        <v>8646.921536889975</v>
      </c>
    </row>
    <row r="298" spans="1:1" x14ac:dyDescent="0.2">
      <c r="A298">
        <v>-847.92878432464204</v>
      </c>
    </row>
    <row r="299" spans="1:1" x14ac:dyDescent="0.2">
      <c r="A299">
        <v>5541.4338536850119</v>
      </c>
    </row>
    <row r="300" spans="1:1" x14ac:dyDescent="0.2">
      <c r="A300">
        <v>14120.945487627294</v>
      </c>
    </row>
    <row r="301" spans="1:1" x14ac:dyDescent="0.2">
      <c r="A301">
        <v>-1323.7712191101164</v>
      </c>
    </row>
    <row r="302" spans="1:1" x14ac:dyDescent="0.2">
      <c r="A302">
        <v>-2285.4994725333527</v>
      </c>
    </row>
    <row r="303" spans="1:1" x14ac:dyDescent="0.2">
      <c r="A303">
        <v>-9810.8021361085121</v>
      </c>
    </row>
    <row r="304" spans="1:1" x14ac:dyDescent="0.2">
      <c r="A304">
        <v>-589.66069478236022</v>
      </c>
    </row>
    <row r="305" spans="1:1" x14ac:dyDescent="0.2">
      <c r="A305">
        <v>10553.091684919258</v>
      </c>
    </row>
    <row r="306" spans="1:1" x14ac:dyDescent="0.2">
      <c r="A306">
        <v>8388.3129180861579</v>
      </c>
    </row>
    <row r="307" spans="1:1" x14ac:dyDescent="0.2">
      <c r="A307">
        <v>5534.374173076998</v>
      </c>
    </row>
    <row r="308" spans="1:1" x14ac:dyDescent="0.2">
      <c r="A308">
        <v>9423.5257091386302</v>
      </c>
    </row>
    <row r="309" spans="1:1" x14ac:dyDescent="0.2">
      <c r="A309">
        <v>-14848.1168373322</v>
      </c>
    </row>
    <row r="310" spans="1:1" x14ac:dyDescent="0.2">
      <c r="A310">
        <v>-7237.8275047119241</v>
      </c>
    </row>
    <row r="311" spans="1:1" x14ac:dyDescent="0.2">
      <c r="A311">
        <v>2517.0183206994552</v>
      </c>
    </row>
    <row r="312" spans="1:1" x14ac:dyDescent="0.2">
      <c r="A312">
        <v>4382.4526894318115</v>
      </c>
    </row>
    <row r="313" spans="1:1" x14ac:dyDescent="0.2">
      <c r="A313">
        <v>-4581.9992161843402</v>
      </c>
    </row>
    <row r="314" spans="1:1" x14ac:dyDescent="0.2">
      <c r="A314">
        <v>5679.3913004179194</v>
      </c>
    </row>
    <row r="315" spans="1:1" x14ac:dyDescent="0.2">
      <c r="A315">
        <v>-10995.201219577866</v>
      </c>
    </row>
    <row r="316" spans="1:1" x14ac:dyDescent="0.2">
      <c r="A316">
        <v>-765.96054379278212</v>
      </c>
    </row>
    <row r="317" spans="1:1" x14ac:dyDescent="0.2">
      <c r="A317">
        <v>23645.831797599094</v>
      </c>
    </row>
    <row r="318" spans="1:1" x14ac:dyDescent="0.2">
      <c r="A318">
        <v>10746.470274392021</v>
      </c>
    </row>
    <row r="319" spans="1:1" x14ac:dyDescent="0.2">
      <c r="A319">
        <v>7114.3425430833595</v>
      </c>
    </row>
    <row r="320" spans="1:1" x14ac:dyDescent="0.2">
      <c r="A320">
        <v>-4376.5910750571056</v>
      </c>
    </row>
    <row r="321" spans="1:1" x14ac:dyDescent="0.2">
      <c r="A321">
        <v>-4305.813444043044</v>
      </c>
    </row>
    <row r="322" spans="1:1" x14ac:dyDescent="0.2">
      <c r="A322">
        <v>5801.291620439064</v>
      </c>
    </row>
    <row r="323" spans="1:1" x14ac:dyDescent="0.2">
      <c r="A323">
        <v>3456.8070274139754</v>
      </c>
    </row>
    <row r="324" spans="1:1" x14ac:dyDescent="0.2">
      <c r="A324">
        <v>3637.5622039239679</v>
      </c>
    </row>
    <row r="325" spans="1:1" x14ac:dyDescent="0.2">
      <c r="A325">
        <v>5693.7690726466826</v>
      </c>
    </row>
    <row r="326" spans="1:1" x14ac:dyDescent="0.2">
      <c r="A326">
        <v>-2728.0876237173798</v>
      </c>
    </row>
    <row r="327" spans="1:1" x14ac:dyDescent="0.2">
      <c r="A327">
        <v>10474.047194225976</v>
      </c>
    </row>
    <row r="328" spans="1:1" x14ac:dyDescent="0.2">
      <c r="A328">
        <v>7568.2599678358529</v>
      </c>
    </row>
    <row r="329" spans="1:1" x14ac:dyDescent="0.2">
      <c r="A329">
        <v>6933.7458988617291</v>
      </c>
    </row>
    <row r="330" spans="1:1" x14ac:dyDescent="0.2">
      <c r="A330">
        <v>-3605.8528179953282</v>
      </c>
    </row>
    <row r="331" spans="1:1" x14ac:dyDescent="0.2">
      <c r="A331">
        <v>-10811.318394000846</v>
      </c>
    </row>
    <row r="332" spans="1:1" x14ac:dyDescent="0.2">
      <c r="A332">
        <v>3361.097726316133</v>
      </c>
    </row>
    <row r="333" spans="1:1" x14ac:dyDescent="0.2">
      <c r="A333">
        <v>13974.340285275626</v>
      </c>
    </row>
    <row r="334" spans="1:1" x14ac:dyDescent="0.2">
      <c r="A334">
        <v>-14479.250330032548</v>
      </c>
    </row>
    <row r="335" spans="1:1" x14ac:dyDescent="0.2">
      <c r="A335">
        <v>-4446.7083013310912</v>
      </c>
    </row>
    <row r="336" spans="1:1" x14ac:dyDescent="0.2">
      <c r="A336">
        <v>-8451.8829657797469</v>
      </c>
    </row>
    <row r="337" spans="1:1" x14ac:dyDescent="0.2">
      <c r="A337">
        <v>3647.6265674104507</v>
      </c>
    </row>
    <row r="338" spans="1:1" x14ac:dyDescent="0.2">
      <c r="A338">
        <v>-5455.4428601394175</v>
      </c>
    </row>
    <row r="339" spans="1:1" x14ac:dyDescent="0.2">
      <c r="A339">
        <v>1462.5813260382274</v>
      </c>
    </row>
    <row r="340" spans="1:1" x14ac:dyDescent="0.2">
      <c r="A340">
        <v>-12605.371658877702</v>
      </c>
    </row>
    <row r="341" spans="1:1" x14ac:dyDescent="0.2">
      <c r="A341">
        <v>-17575.588405418268</v>
      </c>
    </row>
    <row r="342" spans="1:1" x14ac:dyDescent="0.2">
      <c r="A342">
        <v>1955.2508272394189</v>
      </c>
    </row>
    <row r="343" spans="1:1" x14ac:dyDescent="0.2">
      <c r="A343">
        <v>10430.147472389945</v>
      </c>
    </row>
    <row r="344" spans="1:1" x14ac:dyDescent="0.2">
      <c r="A344">
        <v>596.32009755249601</v>
      </c>
    </row>
    <row r="345" spans="1:1" x14ac:dyDescent="0.2">
      <c r="A345">
        <v>-6511.9878406541247</v>
      </c>
    </row>
    <row r="346" spans="1:1" x14ac:dyDescent="0.2">
      <c r="A346">
        <v>-4184.6104013317236</v>
      </c>
    </row>
    <row r="347" spans="1:1" x14ac:dyDescent="0.2">
      <c r="A347">
        <v>2398.2170255114906</v>
      </c>
    </row>
    <row r="348" spans="1:1" x14ac:dyDescent="0.2">
      <c r="A348">
        <v>16702.215923027426</v>
      </c>
    </row>
    <row r="349" spans="1:1" x14ac:dyDescent="0.2">
      <c r="A349">
        <v>436.62042897788342</v>
      </c>
    </row>
    <row r="350" spans="1:1" x14ac:dyDescent="0.2">
      <c r="A350">
        <v>5570.7071261288947</v>
      </c>
    </row>
    <row r="351" spans="1:1" x14ac:dyDescent="0.2">
      <c r="A351">
        <v>-773.95386529952521</v>
      </c>
    </row>
    <row r="352" spans="1:1" x14ac:dyDescent="0.2">
      <c r="A352">
        <v>7008.9526066428516</v>
      </c>
    </row>
    <row r="353" spans="1:1" x14ac:dyDescent="0.2">
      <c r="A353">
        <v>15346.585106710845</v>
      </c>
    </row>
    <row r="354" spans="1:1" x14ac:dyDescent="0.2">
      <c r="A354">
        <v>-1914.1127059593855</v>
      </c>
    </row>
    <row r="355" spans="1:1" x14ac:dyDescent="0.2">
      <c r="A355">
        <v>3930.3224128067377</v>
      </c>
    </row>
    <row r="356" spans="1:1" x14ac:dyDescent="0.2">
      <c r="A356">
        <v>-7474.2944727024296</v>
      </c>
    </row>
    <row r="357" spans="1:1" x14ac:dyDescent="0.2">
      <c r="A357">
        <v>4035.6723709428334</v>
      </c>
    </row>
    <row r="358" spans="1:1" x14ac:dyDescent="0.2">
      <c r="A358">
        <v>-7009.0537345134071</v>
      </c>
    </row>
    <row r="359" spans="1:1" x14ac:dyDescent="0.2">
      <c r="A359">
        <v>-1670.9378293538466</v>
      </c>
    </row>
    <row r="360" spans="1:1" x14ac:dyDescent="0.2">
      <c r="A360">
        <v>14861.139769537054</v>
      </c>
    </row>
    <row r="361" spans="1:1" x14ac:dyDescent="0.2">
      <c r="A361">
        <v>6400.3293518453138</v>
      </c>
    </row>
    <row r="362" spans="1:1" x14ac:dyDescent="0.2">
      <c r="A362">
        <v>-2540.8946551385452</v>
      </c>
    </row>
    <row r="363" spans="1:1" x14ac:dyDescent="0.2">
      <c r="A363">
        <v>13347.630185473652</v>
      </c>
    </row>
    <row r="364" spans="1:1" x14ac:dyDescent="0.2">
      <c r="A364">
        <v>-11229.826199975039</v>
      </c>
    </row>
    <row r="365" spans="1:1" x14ac:dyDescent="0.2">
      <c r="A365">
        <v>-5710.1433802101528</v>
      </c>
    </row>
    <row r="366" spans="1:1" x14ac:dyDescent="0.2">
      <c r="A366">
        <v>7462.3797354482813</v>
      </c>
    </row>
    <row r="367" spans="1:1" x14ac:dyDescent="0.2">
      <c r="A367">
        <v>-2862.2762873326137</v>
      </c>
    </row>
    <row r="368" spans="1:1" x14ac:dyDescent="0.2">
      <c r="A368">
        <v>-2393.3785780020116</v>
      </c>
    </row>
    <row r="369" spans="1:1" x14ac:dyDescent="0.2">
      <c r="A369">
        <v>4230.9929228240508</v>
      </c>
    </row>
    <row r="370" spans="1:1" x14ac:dyDescent="0.2">
      <c r="A370">
        <v>14988.660598460789</v>
      </c>
    </row>
    <row r="371" spans="1:1" x14ac:dyDescent="0.2">
      <c r="A371">
        <v>5838.8600077686715</v>
      </c>
    </row>
    <row r="372" spans="1:1" x14ac:dyDescent="0.2">
      <c r="A372">
        <v>-8318.4980454736506</v>
      </c>
    </row>
    <row r="373" spans="1:1" x14ac:dyDescent="0.2">
      <c r="A373">
        <v>2704.1842108653509</v>
      </c>
    </row>
    <row r="374" spans="1:1" x14ac:dyDescent="0.2">
      <c r="A374">
        <v>-1078.1595863833209</v>
      </c>
    </row>
    <row r="375" spans="1:1" x14ac:dyDescent="0.2">
      <c r="A375">
        <v>5742.2695233659178</v>
      </c>
    </row>
    <row r="376" spans="1:1" x14ac:dyDescent="0.2">
      <c r="A376">
        <v>3172.6841055995901</v>
      </c>
    </row>
    <row r="377" spans="1:1" x14ac:dyDescent="0.2">
      <c r="A377">
        <v>25877.940735249009</v>
      </c>
    </row>
    <row r="378" spans="1:1" x14ac:dyDescent="0.2">
      <c r="A378">
        <v>2882.3035566455219</v>
      </c>
    </row>
    <row r="379" spans="1:1" x14ac:dyDescent="0.2">
      <c r="A379">
        <v>-13547.658564630081</v>
      </c>
    </row>
    <row r="380" spans="1:1" x14ac:dyDescent="0.2">
      <c r="A380">
        <v>4293.3928017762373</v>
      </c>
    </row>
    <row r="381" spans="1:1" x14ac:dyDescent="0.2">
      <c r="A381">
        <v>1211.4860566909774</v>
      </c>
    </row>
    <row r="382" spans="1:1" x14ac:dyDescent="0.2">
      <c r="A382">
        <v>-11767.118179585086</v>
      </c>
    </row>
    <row r="383" spans="1:1" x14ac:dyDescent="0.2">
      <c r="A383">
        <v>-9292.2191751183127</v>
      </c>
    </row>
    <row r="384" spans="1:1" x14ac:dyDescent="0.2">
      <c r="A384">
        <v>8329.0710271845164</v>
      </c>
    </row>
    <row r="385" spans="1:1" x14ac:dyDescent="0.2">
      <c r="A385">
        <v>4903.1061707337503</v>
      </c>
    </row>
    <row r="386" spans="1:1" x14ac:dyDescent="0.2">
      <c r="A386">
        <v>-11726.61204518372</v>
      </c>
    </row>
    <row r="387" spans="1:1" x14ac:dyDescent="0.2">
      <c r="A387">
        <v>8156.1438891893486</v>
      </c>
    </row>
    <row r="388" spans="1:1" x14ac:dyDescent="0.2">
      <c r="A388">
        <v>22663.463582728757</v>
      </c>
    </row>
    <row r="389" spans="1:1" x14ac:dyDescent="0.2">
      <c r="A389">
        <v>4279.5518086373922</v>
      </c>
    </row>
    <row r="390" spans="1:1" x14ac:dyDescent="0.2">
      <c r="A390">
        <v>-297.10239998018369</v>
      </c>
    </row>
    <row r="391" spans="1:1" x14ac:dyDescent="0.2">
      <c r="A391">
        <v>1930.6815864899545</v>
      </c>
    </row>
    <row r="392" spans="1:1" x14ac:dyDescent="0.2">
      <c r="A392">
        <v>12665.709059118613</v>
      </c>
    </row>
    <row r="393" spans="1:1" x14ac:dyDescent="0.2">
      <c r="A393">
        <v>2121.8284081648453</v>
      </c>
    </row>
    <row r="394" spans="1:1" x14ac:dyDescent="0.2">
      <c r="A394">
        <v>-8129.6390673308051</v>
      </c>
    </row>
    <row r="395" spans="1:1" x14ac:dyDescent="0.2">
      <c r="A395">
        <v>-7996.2758917058236</v>
      </c>
    </row>
    <row r="396" spans="1:1" x14ac:dyDescent="0.2">
      <c r="A396">
        <v>3796.4958907669643</v>
      </c>
    </row>
    <row r="397" spans="1:1" x14ac:dyDescent="0.2">
      <c r="A397">
        <v>17864.169689754577</v>
      </c>
    </row>
    <row r="398" spans="1:1" x14ac:dyDescent="0.2">
      <c r="A398">
        <v>-4445.6080355068552</v>
      </c>
    </row>
    <row r="399" spans="1:1" x14ac:dyDescent="0.2">
      <c r="A399">
        <v>-14031.52112536272</v>
      </c>
    </row>
    <row r="400" spans="1:1" x14ac:dyDescent="0.2">
      <c r="A400">
        <v>-618.55441239124048</v>
      </c>
    </row>
    <row r="401" spans="1:1" x14ac:dyDescent="0.2">
      <c r="A401">
        <v>-273.76670261847903</v>
      </c>
    </row>
    <row r="402" spans="1:1" x14ac:dyDescent="0.2">
      <c r="A402">
        <v>1030.0391046167933</v>
      </c>
    </row>
    <row r="403" spans="1:1" x14ac:dyDescent="0.2">
      <c r="A403">
        <v>-14274.668221969448</v>
      </c>
    </row>
    <row r="404" spans="1:1" x14ac:dyDescent="0.2">
      <c r="A404">
        <v>-13125.536462942604</v>
      </c>
    </row>
    <row r="405" spans="1:1" x14ac:dyDescent="0.2">
      <c r="A405">
        <v>-7057.235494399094</v>
      </c>
    </row>
    <row r="406" spans="1:1" x14ac:dyDescent="0.2">
      <c r="A406">
        <v>10113.819782935083</v>
      </c>
    </row>
    <row r="407" spans="1:1" x14ac:dyDescent="0.2">
      <c r="A407">
        <v>-17735.35190492816</v>
      </c>
    </row>
    <row r="408" spans="1:1" x14ac:dyDescent="0.2">
      <c r="A408">
        <v>8610.4612534212065</v>
      </c>
    </row>
    <row r="409" spans="1:1" x14ac:dyDescent="0.2">
      <c r="A409">
        <v>19863.736923944001</v>
      </c>
    </row>
    <row r="410" spans="1:1" x14ac:dyDescent="0.2">
      <c r="A410">
        <v>-522.45710030733608</v>
      </c>
    </row>
    <row r="411" spans="1:1" x14ac:dyDescent="0.2">
      <c r="A411">
        <v>2657.0304710035271</v>
      </c>
    </row>
    <row r="412" spans="1:1" x14ac:dyDescent="0.2">
      <c r="A412">
        <v>5470.0680574154248</v>
      </c>
    </row>
    <row r="413" spans="1:1" x14ac:dyDescent="0.2">
      <c r="A413">
        <v>13061.351522160578</v>
      </c>
    </row>
    <row r="414" spans="1:1" x14ac:dyDescent="0.2">
      <c r="A414">
        <v>-14881.916809713381</v>
      </c>
    </row>
    <row r="415" spans="1:1" x14ac:dyDescent="0.2">
      <c r="A415">
        <v>20609.242545868241</v>
      </c>
    </row>
    <row r="416" spans="1:1" x14ac:dyDescent="0.2">
      <c r="A416">
        <v>-1199.4662417547079</v>
      </c>
    </row>
    <row r="417" spans="1:1" x14ac:dyDescent="0.2">
      <c r="A417">
        <v>6478.0571404546499</v>
      </c>
    </row>
    <row r="418" spans="1:1" x14ac:dyDescent="0.2">
      <c r="A418">
        <v>7540.8670167143573</v>
      </c>
    </row>
    <row r="419" spans="1:1" x14ac:dyDescent="0.2">
      <c r="A419">
        <v>11133.941834668803</v>
      </c>
    </row>
    <row r="420" spans="1:1" x14ac:dyDescent="0.2">
      <c r="A420">
        <v>4717.3640708691091</v>
      </c>
    </row>
    <row r="421" spans="1:1" x14ac:dyDescent="0.2">
      <c r="A421">
        <v>11150.983302667679</v>
      </c>
    </row>
    <row r="422" spans="1:1" x14ac:dyDescent="0.2">
      <c r="A422">
        <v>318.08093874985934</v>
      </c>
    </row>
    <row r="423" spans="1:1" x14ac:dyDescent="0.2">
      <c r="A423">
        <v>-7844.1639689219592</v>
      </c>
    </row>
    <row r="424" spans="1:1" x14ac:dyDescent="0.2">
      <c r="A424">
        <v>15047.111595230759</v>
      </c>
    </row>
    <row r="425" spans="1:1" x14ac:dyDescent="0.2">
      <c r="A425">
        <v>13635.049584725522</v>
      </c>
    </row>
    <row r="426" spans="1:1" x14ac:dyDescent="0.2">
      <c r="A426">
        <v>-6705.4441337580793</v>
      </c>
    </row>
    <row r="427" spans="1:1" x14ac:dyDescent="0.2">
      <c r="A427">
        <v>-5613.9937712090614</v>
      </c>
    </row>
    <row r="428" spans="1:1" x14ac:dyDescent="0.2">
      <c r="A428">
        <v>-12414.63489868684</v>
      </c>
    </row>
    <row r="429" spans="1:1" x14ac:dyDescent="0.2">
      <c r="A429">
        <v>5519.8058616897033</v>
      </c>
    </row>
    <row r="430" spans="1:1" x14ac:dyDescent="0.2">
      <c r="A430">
        <v>8718.356645961816</v>
      </c>
    </row>
    <row r="431" spans="1:1" x14ac:dyDescent="0.2">
      <c r="A431">
        <v>1796.810199429834</v>
      </c>
    </row>
    <row r="432" spans="1:1" x14ac:dyDescent="0.2">
      <c r="A432">
        <v>-2266.8421420442755</v>
      </c>
    </row>
    <row r="433" spans="1:1" x14ac:dyDescent="0.2">
      <c r="A433">
        <v>-13869.184021653346</v>
      </c>
    </row>
    <row r="434" spans="1:1" x14ac:dyDescent="0.2">
      <c r="A434">
        <v>19271.844773720222</v>
      </c>
    </row>
    <row r="435" spans="1:1" x14ac:dyDescent="0.2">
      <c r="A435">
        <v>12672.200685583113</v>
      </c>
    </row>
    <row r="436" spans="1:1" x14ac:dyDescent="0.2">
      <c r="A436">
        <v>5495.6588668813347</v>
      </c>
    </row>
    <row r="437" spans="1:1" x14ac:dyDescent="0.2">
      <c r="A437">
        <v>2692.7634136874403</v>
      </c>
    </row>
    <row r="438" spans="1:1" x14ac:dyDescent="0.2">
      <c r="A438">
        <v>14326.024779180385</v>
      </c>
    </row>
    <row r="439" spans="1:1" x14ac:dyDescent="0.2">
      <c r="A439">
        <v>5412.9887638352229</v>
      </c>
    </row>
    <row r="440" spans="1:1" x14ac:dyDescent="0.2">
      <c r="A440">
        <v>5522.7896212186897</v>
      </c>
    </row>
    <row r="441" spans="1:1" x14ac:dyDescent="0.2">
      <c r="A441">
        <v>597.41871812249883</v>
      </c>
    </row>
    <row r="442" spans="1:1" x14ac:dyDescent="0.2">
      <c r="A442">
        <v>-11022.545806821872</v>
      </c>
    </row>
    <row r="443" spans="1:1" x14ac:dyDescent="0.2">
      <c r="A443">
        <v>-17853.625564587594</v>
      </c>
    </row>
    <row r="444" spans="1:1" x14ac:dyDescent="0.2">
      <c r="A444">
        <v>468.61968708998756</v>
      </c>
    </row>
    <row r="445" spans="1:1" x14ac:dyDescent="0.2">
      <c r="A445">
        <v>-4813.5580773581751</v>
      </c>
    </row>
    <row r="446" spans="1:1" x14ac:dyDescent="0.2">
      <c r="A446">
        <v>9646.8210724211531</v>
      </c>
    </row>
    <row r="447" spans="1:1" x14ac:dyDescent="0.2">
      <c r="A447">
        <v>12281.800721378764</v>
      </c>
    </row>
    <row r="448" spans="1:1" x14ac:dyDescent="0.2">
      <c r="A448">
        <v>4438.0926663814462</v>
      </c>
    </row>
    <row r="449" spans="1:1" x14ac:dyDescent="0.2">
      <c r="A449">
        <v>-11473.02253316174</v>
      </c>
    </row>
    <row r="450" spans="1:1" x14ac:dyDescent="0.2">
      <c r="A450">
        <v>-4165.2211478839163</v>
      </c>
    </row>
    <row r="451" spans="1:1" x14ac:dyDescent="0.2">
      <c r="A451">
        <v>4149.2990613312286</v>
      </c>
    </row>
    <row r="452" spans="1:1" x14ac:dyDescent="0.2">
      <c r="A452">
        <v>-3076.8814383220742</v>
      </c>
    </row>
    <row r="453" spans="1:1" x14ac:dyDescent="0.2">
      <c r="A453">
        <v>4444.5429127303942</v>
      </c>
    </row>
    <row r="454" spans="1:1" x14ac:dyDescent="0.2">
      <c r="A454">
        <v>3956.1784322042949</v>
      </c>
    </row>
    <row r="455" spans="1:1" x14ac:dyDescent="0.2">
      <c r="A455">
        <v>-946.73102262371685</v>
      </c>
    </row>
    <row r="456" spans="1:1" x14ac:dyDescent="0.2">
      <c r="A456">
        <v>22510.850775111525</v>
      </c>
    </row>
    <row r="457" spans="1:1" x14ac:dyDescent="0.2">
      <c r="A457">
        <v>-9119.2924458007328</v>
      </c>
    </row>
    <row r="458" spans="1:1" x14ac:dyDescent="0.2">
      <c r="A458">
        <v>-590.8148696119024</v>
      </c>
    </row>
    <row r="459" spans="1:1" x14ac:dyDescent="0.2">
      <c r="A459">
        <v>4952.6413738816918</v>
      </c>
    </row>
    <row r="460" spans="1:1" x14ac:dyDescent="0.2">
      <c r="A460">
        <v>-2056.9591687465436</v>
      </c>
    </row>
    <row r="461" spans="1:1" x14ac:dyDescent="0.2">
      <c r="A461">
        <v>11787.991519808042</v>
      </c>
    </row>
    <row r="462" spans="1:1" x14ac:dyDescent="0.2">
      <c r="A462">
        <v>-6998.1085612010793</v>
      </c>
    </row>
    <row r="463" spans="1:1" x14ac:dyDescent="0.2">
      <c r="A463">
        <v>-8305.7268996332132</v>
      </c>
    </row>
    <row r="464" spans="1:1" x14ac:dyDescent="0.2">
      <c r="A464">
        <v>5878.1937217676314</v>
      </c>
    </row>
    <row r="465" spans="1:1" x14ac:dyDescent="0.2">
      <c r="A465">
        <v>28020.951100654143</v>
      </c>
    </row>
    <row r="466" spans="1:1" x14ac:dyDescent="0.2">
      <c r="A466">
        <v>3474.0911443532968</v>
      </c>
    </row>
    <row r="467" spans="1:1" x14ac:dyDescent="0.2">
      <c r="A467">
        <v>18335.203664451372</v>
      </c>
    </row>
    <row r="468" spans="1:1" x14ac:dyDescent="0.2">
      <c r="A468">
        <v>11809.764697986306</v>
      </c>
    </row>
    <row r="469" spans="1:1" x14ac:dyDescent="0.2">
      <c r="A469">
        <v>-602.69090046681231</v>
      </c>
    </row>
    <row r="470" spans="1:1" x14ac:dyDescent="0.2">
      <c r="A470">
        <v>-5784.9733954928233</v>
      </c>
    </row>
    <row r="471" spans="1:1" x14ac:dyDescent="0.2">
      <c r="A471">
        <v>13583.607471999188</v>
      </c>
    </row>
    <row r="472" spans="1:1" x14ac:dyDescent="0.2">
      <c r="A472">
        <v>1227.7552646704135</v>
      </c>
    </row>
    <row r="473" spans="1:1" x14ac:dyDescent="0.2">
      <c r="A473">
        <v>-11798.800434084609</v>
      </c>
    </row>
    <row r="474" spans="1:1" x14ac:dyDescent="0.2">
      <c r="A474">
        <v>7699.1792198732146</v>
      </c>
    </row>
    <row r="475" spans="1:1" x14ac:dyDescent="0.2">
      <c r="A475">
        <v>-4471.9307386438886</v>
      </c>
    </row>
    <row r="476" spans="1:1" x14ac:dyDescent="0.2">
      <c r="A476">
        <v>9832.2525937595638</v>
      </c>
    </row>
    <row r="477" spans="1:1" x14ac:dyDescent="0.2">
      <c r="A477">
        <v>-12888.68645781037</v>
      </c>
    </row>
    <row r="478" spans="1:1" x14ac:dyDescent="0.2">
      <c r="A478">
        <v>25161.036472541105</v>
      </c>
    </row>
    <row r="479" spans="1:1" x14ac:dyDescent="0.2">
      <c r="A479">
        <v>7799.9637742121995</v>
      </c>
    </row>
    <row r="480" spans="1:1" x14ac:dyDescent="0.2">
      <c r="A480">
        <v>30769.93409924423</v>
      </c>
    </row>
    <row r="481" spans="1:1" x14ac:dyDescent="0.2">
      <c r="A481">
        <v>-27285.638140789408</v>
      </c>
    </row>
    <row r="482" spans="1:1" x14ac:dyDescent="0.2">
      <c r="A482">
        <v>13567.101999541395</v>
      </c>
    </row>
    <row r="483" spans="1:1" x14ac:dyDescent="0.2">
      <c r="A483">
        <v>-9040.5616434977856</v>
      </c>
    </row>
    <row r="484" spans="1:1" x14ac:dyDescent="0.2">
      <c r="A484">
        <v>-244.12433172017336</v>
      </c>
    </row>
    <row r="485" spans="1:1" x14ac:dyDescent="0.2">
      <c r="A485">
        <v>9367.8268359144276</v>
      </c>
    </row>
    <row r="486" spans="1:1" x14ac:dyDescent="0.2">
      <c r="A486">
        <v>4982.2949316391314</v>
      </c>
    </row>
    <row r="487" spans="1:1" x14ac:dyDescent="0.2">
      <c r="A487">
        <v>-16267.015863363398</v>
      </c>
    </row>
    <row r="488" spans="1:1" x14ac:dyDescent="0.2">
      <c r="A488">
        <v>4946.7872786107764</v>
      </c>
    </row>
    <row r="489" spans="1:1" x14ac:dyDescent="0.2">
      <c r="A489">
        <v>1754.9106972728623</v>
      </c>
    </row>
    <row r="490" spans="1:1" x14ac:dyDescent="0.2">
      <c r="A490">
        <v>10325.448859097669</v>
      </c>
    </row>
    <row r="491" spans="1:1" x14ac:dyDescent="0.2">
      <c r="A491">
        <v>2835.4762343016337</v>
      </c>
    </row>
    <row r="492" spans="1:1" x14ac:dyDescent="0.2">
      <c r="A492">
        <v>42.836230455257464</v>
      </c>
    </row>
    <row r="493" spans="1:1" x14ac:dyDescent="0.2">
      <c r="A493">
        <v>-729.21237602137262</v>
      </c>
    </row>
    <row r="494" spans="1:1" x14ac:dyDescent="0.2">
      <c r="A494">
        <v>-2494.4816980447504</v>
      </c>
    </row>
    <row r="495" spans="1:1" x14ac:dyDescent="0.2">
      <c r="A495">
        <v>13217.860780264309</v>
      </c>
    </row>
    <row r="496" spans="1:1" x14ac:dyDescent="0.2">
      <c r="A496">
        <v>-2971.6266807733919</v>
      </c>
    </row>
    <row r="497" spans="1:1" x14ac:dyDescent="0.2">
      <c r="A497">
        <v>-3451.5359050435945</v>
      </c>
    </row>
    <row r="498" spans="1:1" x14ac:dyDescent="0.2">
      <c r="A498">
        <v>-12879.184850274789</v>
      </c>
    </row>
    <row r="499" spans="1:1" x14ac:dyDescent="0.2">
      <c r="A499">
        <v>-2891.627115818148</v>
      </c>
    </row>
    <row r="500" spans="1:1" x14ac:dyDescent="0.2">
      <c r="A500">
        <v>6543.1253703699913</v>
      </c>
    </row>
    <row r="501" spans="1:1" x14ac:dyDescent="0.2">
      <c r="A501">
        <v>-4565.4396940381848</v>
      </c>
    </row>
    <row r="502" spans="1:1" x14ac:dyDescent="0.2">
      <c r="A502">
        <v>19190.55191777696</v>
      </c>
    </row>
    <row r="503" spans="1:1" x14ac:dyDescent="0.2">
      <c r="A503">
        <v>-7731.9816377190873</v>
      </c>
    </row>
    <row r="504" spans="1:1" x14ac:dyDescent="0.2">
      <c r="A504">
        <v>-394.92874670377932</v>
      </c>
    </row>
    <row r="505" spans="1:1" x14ac:dyDescent="0.2">
      <c r="A505">
        <v>-1566.4936252781772</v>
      </c>
    </row>
    <row r="506" spans="1:1" x14ac:dyDescent="0.2">
      <c r="A506">
        <v>-1818.4150356805476</v>
      </c>
    </row>
    <row r="507" spans="1:1" x14ac:dyDescent="0.2">
      <c r="A507">
        <v>-2215.1585497160559</v>
      </c>
    </row>
    <row r="508" spans="1:1" x14ac:dyDescent="0.2">
      <c r="A508">
        <v>5098.8232123712078</v>
      </c>
    </row>
    <row r="509" spans="1:1" x14ac:dyDescent="0.2">
      <c r="A509">
        <v>11221.721339866024</v>
      </c>
    </row>
    <row r="510" spans="1:1" x14ac:dyDescent="0.2">
      <c r="A510">
        <v>-10239.055834410072</v>
      </c>
    </row>
    <row r="511" spans="1:1" x14ac:dyDescent="0.2">
      <c r="A511">
        <v>3681.665534886386</v>
      </c>
    </row>
    <row r="512" spans="1:1" x14ac:dyDescent="0.2">
      <c r="A512">
        <v>4180.0402641783876</v>
      </c>
    </row>
    <row r="513" spans="1:1" x14ac:dyDescent="0.2">
      <c r="A513">
        <v>8234.8619789675577</v>
      </c>
    </row>
    <row r="514" spans="1:1" x14ac:dyDescent="0.2">
      <c r="A514">
        <v>12280.477469774254</v>
      </c>
    </row>
    <row r="515" spans="1:1" x14ac:dyDescent="0.2">
      <c r="A515">
        <v>17723.083278655482</v>
      </c>
    </row>
    <row r="516" spans="1:1" x14ac:dyDescent="0.2">
      <c r="A516">
        <v>-5950.2667992045172</v>
      </c>
    </row>
    <row r="517" spans="1:1" x14ac:dyDescent="0.2">
      <c r="A517">
        <v>-5194.8651229816605</v>
      </c>
    </row>
    <row r="518" spans="1:1" x14ac:dyDescent="0.2">
      <c r="A518">
        <v>-11591.223689151608</v>
      </c>
    </row>
    <row r="519" spans="1:1" x14ac:dyDescent="0.2">
      <c r="A519">
        <v>9290.2795474003069</v>
      </c>
    </row>
    <row r="520" spans="1:1" x14ac:dyDescent="0.2">
      <c r="A520">
        <v>-1641.9903038578923</v>
      </c>
    </row>
    <row r="521" spans="1:1" x14ac:dyDescent="0.2">
      <c r="A521">
        <v>7262.8026486121526</v>
      </c>
    </row>
    <row r="522" spans="1:1" x14ac:dyDescent="0.2">
      <c r="A522">
        <v>11129.805461513926</v>
      </c>
    </row>
    <row r="523" spans="1:1" x14ac:dyDescent="0.2">
      <c r="A523">
        <v>8588.402111151343</v>
      </c>
    </row>
    <row r="524" spans="1:1" x14ac:dyDescent="0.2">
      <c r="A524">
        <v>-25584.949063660635</v>
      </c>
    </row>
    <row r="525" spans="1:1" x14ac:dyDescent="0.2">
      <c r="A525">
        <v>-3315.7221509282244</v>
      </c>
    </row>
    <row r="526" spans="1:1" x14ac:dyDescent="0.2">
      <c r="A526">
        <v>-3794.2441904608277</v>
      </c>
    </row>
    <row r="527" spans="1:1" x14ac:dyDescent="0.2">
      <c r="A527">
        <v>-3780.2208163007163</v>
      </c>
    </row>
    <row r="528" spans="1:1" x14ac:dyDescent="0.2">
      <c r="A528">
        <v>6735.7982224747248</v>
      </c>
    </row>
    <row r="529" spans="1:1" x14ac:dyDescent="0.2">
      <c r="A529">
        <v>12360.804039454495</v>
      </c>
    </row>
    <row r="530" spans="1:1" x14ac:dyDescent="0.2">
      <c r="A530">
        <v>15662.960899999016</v>
      </c>
    </row>
    <row r="531" spans="1:1" x14ac:dyDescent="0.2">
      <c r="A531">
        <v>3542.0580473957234</v>
      </c>
    </row>
    <row r="532" spans="1:1" x14ac:dyDescent="0.2">
      <c r="A532">
        <v>-13123.621185440687</v>
      </c>
    </row>
    <row r="533" spans="1:1" x14ac:dyDescent="0.2">
      <c r="A533">
        <v>11666.808827549947</v>
      </c>
    </row>
    <row r="534" spans="1:1" x14ac:dyDescent="0.2">
      <c r="A534">
        <v>261.76145498757251</v>
      </c>
    </row>
    <row r="535" spans="1:1" x14ac:dyDescent="0.2">
      <c r="A535">
        <v>2667.215881406999</v>
      </c>
    </row>
    <row r="536" spans="1:1" x14ac:dyDescent="0.2">
      <c r="A536">
        <v>-14262.867169971258</v>
      </c>
    </row>
    <row r="537" spans="1:1" x14ac:dyDescent="0.2">
      <c r="A537">
        <v>-6168.081807113369</v>
      </c>
    </row>
    <row r="538" spans="1:1" x14ac:dyDescent="0.2">
      <c r="A538">
        <v>6244.8415474605572</v>
      </c>
    </row>
    <row r="539" spans="1:1" x14ac:dyDescent="0.2">
      <c r="A539">
        <v>-7724.0975644939463</v>
      </c>
    </row>
    <row r="540" spans="1:1" x14ac:dyDescent="0.2">
      <c r="A540">
        <v>15843.406179327198</v>
      </c>
    </row>
    <row r="541" spans="1:1" x14ac:dyDescent="0.2">
      <c r="A541">
        <v>-8698.6492246777052</v>
      </c>
    </row>
    <row r="542" spans="1:1" x14ac:dyDescent="0.2">
      <c r="A542">
        <v>-1180.9286811519123</v>
      </c>
    </row>
    <row r="543" spans="1:1" x14ac:dyDescent="0.2">
      <c r="A543">
        <v>-4089.52994149609</v>
      </c>
    </row>
    <row r="544" spans="1:1" x14ac:dyDescent="0.2">
      <c r="A544">
        <v>7291.848790940945</v>
      </c>
    </row>
    <row r="545" spans="1:1" x14ac:dyDescent="0.2">
      <c r="A545">
        <v>4849.3077276819386</v>
      </c>
    </row>
    <row r="546" spans="1:1" x14ac:dyDescent="0.2">
      <c r="A546">
        <v>-499.8010825967358</v>
      </c>
    </row>
    <row r="547" spans="1:1" x14ac:dyDescent="0.2">
      <c r="A547">
        <v>1766.0764082057867</v>
      </c>
    </row>
    <row r="548" spans="1:1" x14ac:dyDescent="0.2">
      <c r="A548">
        <v>-22536.868167183362</v>
      </c>
    </row>
    <row r="549" spans="1:1" x14ac:dyDescent="0.2">
      <c r="A549">
        <v>5443.8050391871657</v>
      </c>
    </row>
    <row r="550" spans="1:1" x14ac:dyDescent="0.2">
      <c r="A550">
        <v>-18222.165386314911</v>
      </c>
    </row>
    <row r="551" spans="1:1" x14ac:dyDescent="0.2">
      <c r="A551">
        <v>7049.4241786515922</v>
      </c>
    </row>
    <row r="552" spans="1:1" x14ac:dyDescent="0.2">
      <c r="A552">
        <v>2402.7791956590954</v>
      </c>
    </row>
    <row r="553" spans="1:1" x14ac:dyDescent="0.2">
      <c r="A553">
        <v>-503.43180153996218</v>
      </c>
    </row>
    <row r="554" spans="1:1" x14ac:dyDescent="0.2">
      <c r="A554">
        <v>-5121.6279253434041</v>
      </c>
    </row>
    <row r="555" spans="1:1" x14ac:dyDescent="0.2">
      <c r="A555">
        <v>-2325.1232344890886</v>
      </c>
    </row>
    <row r="556" spans="1:1" x14ac:dyDescent="0.2">
      <c r="A556">
        <v>7427.5221684756107</v>
      </c>
    </row>
    <row r="557" spans="1:1" x14ac:dyDescent="0.2">
      <c r="A557">
        <v>-749.52082754613366</v>
      </c>
    </row>
    <row r="558" spans="1:1" x14ac:dyDescent="0.2">
      <c r="A558">
        <v>12114.56141557431</v>
      </c>
    </row>
    <row r="559" spans="1:1" x14ac:dyDescent="0.2">
      <c r="A559">
        <v>-6192.5326988743618</v>
      </c>
    </row>
    <row r="560" spans="1:1" x14ac:dyDescent="0.2">
      <c r="A560">
        <v>6553.3578985230706</v>
      </c>
    </row>
    <row r="561" spans="1:1" x14ac:dyDescent="0.2">
      <c r="A561">
        <v>3868.6685705763812</v>
      </c>
    </row>
    <row r="562" spans="1:1" x14ac:dyDescent="0.2">
      <c r="A562">
        <v>4775.4389153294032</v>
      </c>
    </row>
    <row r="563" spans="1:1" x14ac:dyDescent="0.2">
      <c r="A563">
        <v>16261.701255384658</v>
      </c>
    </row>
    <row r="564" spans="1:1" x14ac:dyDescent="0.2">
      <c r="A564">
        <v>-187.78247433554498</v>
      </c>
    </row>
    <row r="565" spans="1:1" x14ac:dyDescent="0.2">
      <c r="A565">
        <v>8699.9790443408419</v>
      </c>
    </row>
    <row r="566" spans="1:1" x14ac:dyDescent="0.2">
      <c r="A566">
        <v>16342.005541445222</v>
      </c>
    </row>
    <row r="567" spans="1:1" x14ac:dyDescent="0.2">
      <c r="A567">
        <v>-13521.078245236655</v>
      </c>
    </row>
    <row r="568" spans="1:1" x14ac:dyDescent="0.2">
      <c r="A568">
        <v>-12327.713975432795</v>
      </c>
    </row>
    <row r="569" spans="1:1" x14ac:dyDescent="0.2">
      <c r="A569">
        <v>11368.396533466934</v>
      </c>
    </row>
    <row r="570" spans="1:1" x14ac:dyDescent="0.2">
      <c r="A570">
        <v>-4510.1550777516677</v>
      </c>
    </row>
    <row r="571" spans="1:1" x14ac:dyDescent="0.2">
      <c r="A571">
        <v>-1234.426644646097</v>
      </c>
    </row>
    <row r="572" spans="1:1" x14ac:dyDescent="0.2">
      <c r="A572">
        <v>-714.28457097581122</v>
      </c>
    </row>
    <row r="573" spans="1:1" x14ac:dyDescent="0.2">
      <c r="A573">
        <v>13416.332647517323</v>
      </c>
    </row>
    <row r="574" spans="1:1" x14ac:dyDescent="0.2">
      <c r="A574">
        <v>8557.2919653111603</v>
      </c>
    </row>
    <row r="575" spans="1:1" x14ac:dyDescent="0.2">
      <c r="A575">
        <v>7467.6248705381004</v>
      </c>
    </row>
    <row r="576" spans="1:1" x14ac:dyDescent="0.2">
      <c r="A576">
        <v>2934.4896110313712</v>
      </c>
    </row>
    <row r="577" spans="1:1" x14ac:dyDescent="0.2">
      <c r="A577">
        <v>-2697.22652711306</v>
      </c>
    </row>
    <row r="578" spans="1:1" x14ac:dyDescent="0.2">
      <c r="A578">
        <v>658.93554179390776</v>
      </c>
    </row>
    <row r="579" spans="1:1" x14ac:dyDescent="0.2">
      <c r="A579">
        <v>-4814.4124135828461</v>
      </c>
    </row>
    <row r="580" spans="1:1" x14ac:dyDescent="0.2">
      <c r="A580">
        <v>-657.3305114149116</v>
      </c>
    </row>
    <row r="581" spans="1:1" x14ac:dyDescent="0.2">
      <c r="A581">
        <v>-1293.4175408665906</v>
      </c>
    </row>
    <row r="582" spans="1:1" x14ac:dyDescent="0.2">
      <c r="A582">
        <v>21077.919894326653</v>
      </c>
    </row>
    <row r="583" spans="1:1" x14ac:dyDescent="0.2">
      <c r="A583">
        <v>1038.811490301392</v>
      </c>
    </row>
    <row r="584" spans="1:1" x14ac:dyDescent="0.2">
      <c r="A584">
        <v>3903.3478719966079</v>
      </c>
    </row>
    <row r="585" spans="1:1" x14ac:dyDescent="0.2">
      <c r="A585">
        <v>6816.7485157606425</v>
      </c>
    </row>
    <row r="586" spans="1:1" x14ac:dyDescent="0.2">
      <c r="A586">
        <v>-15001.696355528489</v>
      </c>
    </row>
    <row r="587" spans="1:1" x14ac:dyDescent="0.2">
      <c r="A587">
        <v>4148.5324272819271</v>
      </c>
    </row>
    <row r="588" spans="1:1" x14ac:dyDescent="0.2">
      <c r="A588">
        <v>16015.374208028254</v>
      </c>
    </row>
    <row r="589" spans="1:1" x14ac:dyDescent="0.2">
      <c r="A589">
        <v>8634.7004602344241</v>
      </c>
    </row>
    <row r="590" spans="1:1" x14ac:dyDescent="0.2">
      <c r="A590">
        <v>-8543.6258107306785</v>
      </c>
    </row>
    <row r="591" spans="1:1" x14ac:dyDescent="0.2">
      <c r="A591">
        <v>13224.387861421623</v>
      </c>
    </row>
    <row r="592" spans="1:1" x14ac:dyDescent="0.2">
      <c r="A592">
        <v>-1498.4583425877208</v>
      </c>
    </row>
    <row r="593" spans="1:1" x14ac:dyDescent="0.2">
      <c r="A593">
        <v>11496.612431163114</v>
      </c>
    </row>
    <row r="594" spans="1:1" x14ac:dyDescent="0.2">
      <c r="A594">
        <v>5034.5406869888247</v>
      </c>
    </row>
    <row r="595" spans="1:1" x14ac:dyDescent="0.2">
      <c r="A595">
        <v>-5577.0227094195725</v>
      </c>
    </row>
    <row r="596" spans="1:1" x14ac:dyDescent="0.2">
      <c r="A596">
        <v>827.13228412048193</v>
      </c>
    </row>
    <row r="597" spans="1:1" x14ac:dyDescent="0.2">
      <c r="A597">
        <v>-6353.971144218347</v>
      </c>
    </row>
    <row r="598" spans="1:1" x14ac:dyDescent="0.2">
      <c r="A598">
        <v>3110.0963058181223</v>
      </c>
    </row>
    <row r="599" spans="1:1" x14ac:dyDescent="0.2">
      <c r="A599">
        <v>4490.0495226696949</v>
      </c>
    </row>
    <row r="600" spans="1:1" x14ac:dyDescent="0.2">
      <c r="A600">
        <v>4808.5237501415249</v>
      </c>
    </row>
    <row r="601" spans="1:1" x14ac:dyDescent="0.2">
      <c r="A601">
        <v>4507.4613766892871</v>
      </c>
    </row>
    <row r="602" spans="1:1" x14ac:dyDescent="0.2">
      <c r="A602">
        <v>-7834.5867903195904</v>
      </c>
    </row>
    <row r="603" spans="1:1" x14ac:dyDescent="0.2">
      <c r="A603">
        <v>20571.96283743222</v>
      </c>
    </row>
    <row r="604" spans="1:1" x14ac:dyDescent="0.2">
      <c r="A604">
        <v>1878.6315010915278</v>
      </c>
    </row>
    <row r="605" spans="1:1" x14ac:dyDescent="0.2">
      <c r="A605">
        <v>5328.1899985923083</v>
      </c>
    </row>
    <row r="606" spans="1:1" x14ac:dyDescent="0.2">
      <c r="A606">
        <v>10955.324842133879</v>
      </c>
    </row>
    <row r="607" spans="1:1" x14ac:dyDescent="0.2">
      <c r="A607">
        <v>-11617.044493853231</v>
      </c>
    </row>
    <row r="608" spans="1:1" x14ac:dyDescent="0.2">
      <c r="A608">
        <v>21976.583173655323</v>
      </c>
    </row>
    <row r="609" spans="1:1" x14ac:dyDescent="0.2">
      <c r="A609">
        <v>-7855.3809506430989</v>
      </c>
    </row>
    <row r="610" spans="1:1" x14ac:dyDescent="0.2">
      <c r="A610">
        <v>-29917.449217800691</v>
      </c>
    </row>
    <row r="611" spans="1:1" x14ac:dyDescent="0.2">
      <c r="A611">
        <v>-2057.5253987250617</v>
      </c>
    </row>
    <row r="612" spans="1:1" x14ac:dyDescent="0.2">
      <c r="A612">
        <v>-553.44120264740195</v>
      </c>
    </row>
    <row r="613" spans="1:1" x14ac:dyDescent="0.2">
      <c r="A613">
        <v>1885.7617737672408</v>
      </c>
    </row>
    <row r="614" spans="1:1" x14ac:dyDescent="0.2">
      <c r="A614">
        <v>-3896.3301626226166</v>
      </c>
    </row>
    <row r="615" spans="1:1" x14ac:dyDescent="0.2">
      <c r="A615">
        <v>-3488.7051080598612</v>
      </c>
    </row>
    <row r="616" spans="1:1" x14ac:dyDescent="0.2">
      <c r="A616">
        <v>25036.146194572502</v>
      </c>
    </row>
    <row r="617" spans="1:1" x14ac:dyDescent="0.2">
      <c r="A617">
        <v>10082.336619594775</v>
      </c>
    </row>
    <row r="618" spans="1:1" x14ac:dyDescent="0.2">
      <c r="A618">
        <v>2338.5512827640632</v>
      </c>
    </row>
    <row r="619" spans="1:1" x14ac:dyDescent="0.2">
      <c r="A619">
        <v>1798.127315608057</v>
      </c>
    </row>
    <row r="620" spans="1:1" x14ac:dyDescent="0.2">
      <c r="A620">
        <v>-8151.3564077834308</v>
      </c>
    </row>
    <row r="621" spans="1:1" x14ac:dyDescent="0.2">
      <c r="A621">
        <v>-3939.8116006994096</v>
      </c>
    </row>
    <row r="622" spans="1:1" x14ac:dyDescent="0.2">
      <c r="A622">
        <v>-8014.036462220829</v>
      </c>
    </row>
    <row r="623" spans="1:1" x14ac:dyDescent="0.2">
      <c r="A623">
        <v>6338.5349519187876</v>
      </c>
    </row>
    <row r="624" spans="1:1" x14ac:dyDescent="0.2">
      <c r="A624">
        <v>-23175.160079531139</v>
      </c>
    </row>
    <row r="625" spans="1:1" x14ac:dyDescent="0.2">
      <c r="A625">
        <v>13201.95511578233</v>
      </c>
    </row>
    <row r="626" spans="1:1" x14ac:dyDescent="0.2">
      <c r="A626">
        <v>-2167.3395073177526</v>
      </c>
    </row>
    <row r="627" spans="1:1" x14ac:dyDescent="0.2">
      <c r="A627">
        <v>-2046.5180348030408</v>
      </c>
    </row>
    <row r="628" spans="1:1" x14ac:dyDescent="0.2">
      <c r="A628">
        <v>4093.6138236722618</v>
      </c>
    </row>
    <row r="629" spans="1:1" x14ac:dyDescent="0.2">
      <c r="A629">
        <v>11261.74178552645</v>
      </c>
    </row>
    <row r="630" spans="1:1" x14ac:dyDescent="0.2">
      <c r="A630">
        <v>9231.3521571515012</v>
      </c>
    </row>
    <row r="631" spans="1:1" x14ac:dyDescent="0.2">
      <c r="A631">
        <v>-16486.572523230454</v>
      </c>
    </row>
    <row r="632" spans="1:1" x14ac:dyDescent="0.2">
      <c r="A632">
        <v>-5499.5364972549723</v>
      </c>
    </row>
    <row r="633" spans="1:1" x14ac:dyDescent="0.2">
      <c r="A633">
        <v>11883.396598161256</v>
      </c>
    </row>
    <row r="634" spans="1:1" x14ac:dyDescent="0.2">
      <c r="A634">
        <v>-8470.8396834403102</v>
      </c>
    </row>
    <row r="635" spans="1:1" x14ac:dyDescent="0.2">
      <c r="A635">
        <v>6976.4624649994075</v>
      </c>
    </row>
    <row r="636" spans="1:1" x14ac:dyDescent="0.2">
      <c r="A636">
        <v>17494.566749661579</v>
      </c>
    </row>
    <row r="637" spans="1:1" x14ac:dyDescent="0.2">
      <c r="A637">
        <v>6398.8464988461055</v>
      </c>
    </row>
    <row r="638" spans="1:1" x14ac:dyDescent="0.2">
      <c r="A638">
        <v>-1683.401823345368</v>
      </c>
    </row>
    <row r="639" spans="1:1" x14ac:dyDescent="0.2">
      <c r="A639">
        <v>-18731.903387161263</v>
      </c>
    </row>
    <row r="640" spans="1:1" x14ac:dyDescent="0.2">
      <c r="A640">
        <v>4224.9295770139433</v>
      </c>
    </row>
    <row r="641" spans="1:1" x14ac:dyDescent="0.2">
      <c r="A641">
        <v>8319.608767686499</v>
      </c>
    </row>
    <row r="642" spans="1:1" x14ac:dyDescent="0.2">
      <c r="A642">
        <v>-747.63866027782205</v>
      </c>
    </row>
    <row r="643" spans="1:1" x14ac:dyDescent="0.2">
      <c r="A643">
        <v>7822.3571951620979</v>
      </c>
    </row>
    <row r="644" spans="1:1" x14ac:dyDescent="0.2">
      <c r="A644">
        <v>-944.03562979024719</v>
      </c>
    </row>
    <row r="645" spans="1:1" x14ac:dyDescent="0.2">
      <c r="A645">
        <v>8955.2003682937648</v>
      </c>
    </row>
    <row r="646" spans="1:1" x14ac:dyDescent="0.2">
      <c r="A646">
        <v>-1862.523897099949</v>
      </c>
    </row>
    <row r="647" spans="1:1" x14ac:dyDescent="0.2">
      <c r="A647">
        <v>-10528.397530432499</v>
      </c>
    </row>
    <row r="648" spans="1:1" x14ac:dyDescent="0.2">
      <c r="A648">
        <v>-5890.5600731395243</v>
      </c>
    </row>
    <row r="649" spans="1:1" x14ac:dyDescent="0.2">
      <c r="A649">
        <v>-1837.4126514595118</v>
      </c>
    </row>
    <row r="650" spans="1:1" x14ac:dyDescent="0.2">
      <c r="A650">
        <v>4523.5455783359648</v>
      </c>
    </row>
    <row r="651" spans="1:1" x14ac:dyDescent="0.2">
      <c r="A651">
        <v>5293.2874133788864</v>
      </c>
    </row>
    <row r="652" spans="1:1" x14ac:dyDescent="0.2">
      <c r="A652">
        <v>17107.025081761531</v>
      </c>
    </row>
    <row r="653" spans="1:1" x14ac:dyDescent="0.2">
      <c r="A653">
        <v>-6701.6837857076025</v>
      </c>
    </row>
    <row r="654" spans="1:1" x14ac:dyDescent="0.2">
      <c r="A654">
        <v>8380.9678886150359</v>
      </c>
    </row>
    <row r="655" spans="1:1" x14ac:dyDescent="0.2">
      <c r="A655">
        <v>16932.742972408218</v>
      </c>
    </row>
    <row r="656" spans="1:1" x14ac:dyDescent="0.2">
      <c r="A656">
        <v>1251.934427082786</v>
      </c>
    </row>
    <row r="657" spans="1:1" x14ac:dyDescent="0.2">
      <c r="A657">
        <v>5490.5185452535225</v>
      </c>
    </row>
    <row r="658" spans="1:1" x14ac:dyDescent="0.2">
      <c r="A658">
        <v>4525.3283830860746</v>
      </c>
    </row>
    <row r="659" spans="1:1" x14ac:dyDescent="0.2">
      <c r="A659">
        <v>6944.5134085865575</v>
      </c>
    </row>
    <row r="660" spans="1:1" x14ac:dyDescent="0.2">
      <c r="A660">
        <v>-25743.46451986098</v>
      </c>
    </row>
    <row r="661" spans="1:1" x14ac:dyDescent="0.2">
      <c r="A661">
        <v>22067.600120999035</v>
      </c>
    </row>
    <row r="662" spans="1:1" x14ac:dyDescent="0.2">
      <c r="A662">
        <v>3548.8149236397585</v>
      </c>
    </row>
    <row r="663" spans="1:1" x14ac:dyDescent="0.2">
      <c r="A663">
        <v>-15217.552617825801</v>
      </c>
    </row>
    <row r="664" spans="1:1" x14ac:dyDescent="0.2">
      <c r="A664">
        <v>2029.9140410367982</v>
      </c>
    </row>
    <row r="665" spans="1:1" x14ac:dyDescent="0.2">
      <c r="A665">
        <v>16621.692748147441</v>
      </c>
    </row>
    <row r="666" spans="1:1" x14ac:dyDescent="0.2">
      <c r="A666">
        <v>4696.0184871716192</v>
      </c>
    </row>
    <row r="667" spans="1:1" x14ac:dyDescent="0.2">
      <c r="A667">
        <v>348.62599197571399</v>
      </c>
    </row>
    <row r="668" spans="1:1" x14ac:dyDescent="0.2">
      <c r="A668">
        <v>3302.2483026882401</v>
      </c>
    </row>
    <row r="669" spans="1:1" x14ac:dyDescent="0.2">
      <c r="A669">
        <v>-9293.2895839497214</v>
      </c>
    </row>
    <row r="670" spans="1:1" x14ac:dyDescent="0.2">
      <c r="A670">
        <v>-9774.9222464501509</v>
      </c>
    </row>
    <row r="671" spans="1:1" x14ac:dyDescent="0.2">
      <c r="A671">
        <v>-3624.5592927404214</v>
      </c>
    </row>
    <row r="672" spans="1:1" x14ac:dyDescent="0.2">
      <c r="A672">
        <v>7184.1110549893929</v>
      </c>
    </row>
    <row r="673" spans="1:1" x14ac:dyDescent="0.2">
      <c r="A673">
        <v>-6497.6999496596982</v>
      </c>
    </row>
    <row r="674" spans="1:1" x14ac:dyDescent="0.2">
      <c r="A674">
        <v>9478.9157367181033</v>
      </c>
    </row>
    <row r="675" spans="1:1" x14ac:dyDescent="0.2">
      <c r="A675">
        <v>9102.2829010094283</v>
      </c>
    </row>
    <row r="676" spans="1:1" x14ac:dyDescent="0.2">
      <c r="A676">
        <v>7087.492139489681</v>
      </c>
    </row>
    <row r="677" spans="1:1" x14ac:dyDescent="0.2">
      <c r="A677">
        <v>-4945.0316215673811</v>
      </c>
    </row>
    <row r="678" spans="1:1" x14ac:dyDescent="0.2">
      <c r="A678">
        <v>2258.4888731027022</v>
      </c>
    </row>
    <row r="679" spans="1:1" x14ac:dyDescent="0.2">
      <c r="A679">
        <v>-779.1973701910465</v>
      </c>
    </row>
    <row r="680" spans="1:1" x14ac:dyDescent="0.2">
      <c r="A680">
        <v>1203.5188676982652</v>
      </c>
    </row>
    <row r="681" spans="1:1" x14ac:dyDescent="0.2">
      <c r="A681">
        <v>4532.3828556472436</v>
      </c>
    </row>
    <row r="682" spans="1:1" x14ac:dyDescent="0.2">
      <c r="A682">
        <v>-13974.844870662782</v>
      </c>
    </row>
    <row r="683" spans="1:1" x14ac:dyDescent="0.2">
      <c r="A683">
        <v>5904.2325311557215</v>
      </c>
    </row>
    <row r="684" spans="1:1" x14ac:dyDescent="0.2">
      <c r="A684">
        <v>5894.6164737881045</v>
      </c>
    </row>
    <row r="685" spans="1:1" x14ac:dyDescent="0.2">
      <c r="A685">
        <v>-28529.666358328657</v>
      </c>
    </row>
    <row r="686" spans="1:1" x14ac:dyDescent="0.2">
      <c r="A686">
        <v>-12205.857644506497</v>
      </c>
    </row>
    <row r="687" spans="1:1" x14ac:dyDescent="0.2">
      <c r="A687">
        <v>16514.236139218556</v>
      </c>
    </row>
    <row r="688" spans="1:1" x14ac:dyDescent="0.2">
      <c r="A688">
        <v>4304.7679301310272</v>
      </c>
    </row>
    <row r="689" spans="1:1" x14ac:dyDescent="0.2">
      <c r="A689">
        <v>1703.3860303195543</v>
      </c>
    </row>
    <row r="690" spans="1:1" x14ac:dyDescent="0.2">
      <c r="A690">
        <v>6147.6896644979424</v>
      </c>
    </row>
    <row r="691" spans="1:1" x14ac:dyDescent="0.2">
      <c r="A691">
        <v>-30592.305117679178</v>
      </c>
    </row>
    <row r="692" spans="1:1" x14ac:dyDescent="0.2">
      <c r="A692">
        <v>7999.9457713739248</v>
      </c>
    </row>
    <row r="693" spans="1:1" x14ac:dyDescent="0.2">
      <c r="A693">
        <v>9267.9502060460509</v>
      </c>
    </row>
    <row r="694" spans="1:1" x14ac:dyDescent="0.2">
      <c r="A694">
        <v>-5695.2021088392357</v>
      </c>
    </row>
    <row r="695" spans="1:1" x14ac:dyDescent="0.2">
      <c r="A695">
        <v>6237.1359099455294</v>
      </c>
    </row>
    <row r="696" spans="1:1" x14ac:dyDescent="0.2">
      <c r="A696">
        <v>13322.221193619829</v>
      </c>
    </row>
    <row r="697" spans="1:1" x14ac:dyDescent="0.2">
      <c r="A697">
        <v>8483.1446291985631</v>
      </c>
    </row>
    <row r="698" spans="1:1" x14ac:dyDescent="0.2">
      <c r="A698">
        <v>8076.3614733546565</v>
      </c>
    </row>
    <row r="699" spans="1:1" x14ac:dyDescent="0.2">
      <c r="A699">
        <v>-9150.683072090731</v>
      </c>
    </row>
    <row r="700" spans="1:1" x14ac:dyDescent="0.2">
      <c r="A700">
        <v>5701.4199107648456</v>
      </c>
    </row>
    <row r="701" spans="1:1" x14ac:dyDescent="0.2">
      <c r="A701">
        <v>3218.7754032151715</v>
      </c>
    </row>
    <row r="702" spans="1:1" x14ac:dyDescent="0.2">
      <c r="A702">
        <v>-2885.0044258988346</v>
      </c>
    </row>
    <row r="703" spans="1:1" x14ac:dyDescent="0.2">
      <c r="A703">
        <v>-26521.023211830354</v>
      </c>
    </row>
    <row r="704" spans="1:1" x14ac:dyDescent="0.2">
      <c r="A704">
        <v>-8755.5229745921679</v>
      </c>
    </row>
    <row r="705" spans="1:1" x14ac:dyDescent="0.2">
      <c r="A705">
        <v>613.73762626340613</v>
      </c>
    </row>
    <row r="706" spans="1:1" x14ac:dyDescent="0.2">
      <c r="A706">
        <v>-5844.2817009520659</v>
      </c>
    </row>
    <row r="707" spans="1:1" x14ac:dyDescent="0.2">
      <c r="A707">
        <v>-24723.326841883129</v>
      </c>
    </row>
    <row r="708" spans="1:1" x14ac:dyDescent="0.2">
      <c r="A708">
        <v>15478.202978471469</v>
      </c>
    </row>
    <row r="709" spans="1:1" x14ac:dyDescent="0.2">
      <c r="A709">
        <v>-11251.697069899703</v>
      </c>
    </row>
    <row r="710" spans="1:1" x14ac:dyDescent="0.2">
      <c r="A710">
        <v>-10269.635422010324</v>
      </c>
    </row>
    <row r="711" spans="1:1" x14ac:dyDescent="0.2">
      <c r="A711">
        <v>-10515.909166458587</v>
      </c>
    </row>
    <row r="712" spans="1:1" x14ac:dyDescent="0.2">
      <c r="A712">
        <v>9715.6789452086668</v>
      </c>
    </row>
    <row r="713" spans="1:1" x14ac:dyDescent="0.2">
      <c r="A713">
        <v>8193.0319771121431</v>
      </c>
    </row>
    <row r="714" spans="1:1" x14ac:dyDescent="0.2">
      <c r="A714">
        <v>5429.9943946163694</v>
      </c>
    </row>
    <row r="715" spans="1:1" x14ac:dyDescent="0.2">
      <c r="A715">
        <v>-13060.197306022746</v>
      </c>
    </row>
    <row r="716" spans="1:1" x14ac:dyDescent="0.2">
      <c r="A716">
        <v>-9831.5018572705449</v>
      </c>
    </row>
    <row r="717" spans="1:1" x14ac:dyDescent="0.2">
      <c r="A717">
        <v>-13207.58829700874</v>
      </c>
    </row>
    <row r="718" spans="1:1" x14ac:dyDescent="0.2">
      <c r="A718">
        <v>-4389.4171619706613</v>
      </c>
    </row>
    <row r="719" spans="1:1" x14ac:dyDescent="0.2">
      <c r="A719">
        <v>-2601.1684378992068</v>
      </c>
    </row>
    <row r="720" spans="1:1" x14ac:dyDescent="0.2">
      <c r="A720">
        <v>-19781.272680935392</v>
      </c>
    </row>
    <row r="721" spans="1:1" x14ac:dyDescent="0.2">
      <c r="A721">
        <v>7295.7217377769412</v>
      </c>
    </row>
    <row r="722" spans="1:1" x14ac:dyDescent="0.2">
      <c r="A722">
        <v>9541.0297099335585</v>
      </c>
    </row>
    <row r="723" spans="1:1" x14ac:dyDescent="0.2">
      <c r="A723">
        <v>13290.386060763558</v>
      </c>
    </row>
    <row r="724" spans="1:1" x14ac:dyDescent="0.2">
      <c r="A724">
        <v>-538.19705900576082</v>
      </c>
    </row>
    <row r="725" spans="1:1" x14ac:dyDescent="0.2">
      <c r="A725">
        <v>21209.822761151387</v>
      </c>
    </row>
    <row r="726" spans="1:1" x14ac:dyDescent="0.2">
      <c r="A726">
        <v>-4767.5226122731692</v>
      </c>
    </row>
    <row r="727" spans="1:1" x14ac:dyDescent="0.2">
      <c r="A727">
        <v>1662.0958494266379</v>
      </c>
    </row>
    <row r="728" spans="1:1" x14ac:dyDescent="0.2">
      <c r="A728">
        <v>-611.88328759965952</v>
      </c>
    </row>
    <row r="729" spans="1:1" x14ac:dyDescent="0.2">
      <c r="A729">
        <v>-20220.401927247527</v>
      </c>
    </row>
    <row r="730" spans="1:1" x14ac:dyDescent="0.2">
      <c r="A730">
        <v>8950.1013880922692</v>
      </c>
    </row>
    <row r="731" spans="1:1" x14ac:dyDescent="0.2">
      <c r="A731">
        <v>1129.7348258694983</v>
      </c>
    </row>
    <row r="732" spans="1:1" x14ac:dyDescent="0.2">
      <c r="A732">
        <v>12116.835573303921</v>
      </c>
    </row>
    <row r="733" spans="1:1" x14ac:dyDescent="0.2">
      <c r="A733">
        <v>5430.3332439598162</v>
      </c>
    </row>
    <row r="734" spans="1:1" x14ac:dyDescent="0.2">
      <c r="A734">
        <v>8056.1972133645322</v>
      </c>
    </row>
    <row r="735" spans="1:1" x14ac:dyDescent="0.2">
      <c r="A735">
        <v>8430.8801098834083</v>
      </c>
    </row>
    <row r="736" spans="1:1" x14ac:dyDescent="0.2">
      <c r="A736">
        <v>-2541.4862281995011</v>
      </c>
    </row>
    <row r="737" spans="1:1" x14ac:dyDescent="0.2">
      <c r="A737">
        <v>-7365.1082432624535</v>
      </c>
    </row>
    <row r="738" spans="1:1" x14ac:dyDescent="0.2">
      <c r="A738">
        <v>5373.9593239689129</v>
      </c>
    </row>
    <row r="739" spans="1:1" x14ac:dyDescent="0.2">
      <c r="A739">
        <v>-16068.512548172846</v>
      </c>
    </row>
    <row r="740" spans="1:1" x14ac:dyDescent="0.2">
      <c r="A740">
        <v>11769.178524903546</v>
      </c>
    </row>
    <row r="741" spans="1:1" x14ac:dyDescent="0.2">
      <c r="A741">
        <v>-26794.619990927982</v>
      </c>
    </row>
    <row r="742" spans="1:1" x14ac:dyDescent="0.2">
      <c r="A742">
        <v>-7342.9436533714179</v>
      </c>
    </row>
    <row r="743" spans="1:1" x14ac:dyDescent="0.2">
      <c r="A743">
        <v>10690.629822292191</v>
      </c>
    </row>
    <row r="744" spans="1:1" x14ac:dyDescent="0.2">
      <c r="A744">
        <v>13538.247060220223</v>
      </c>
    </row>
    <row r="745" spans="1:1" x14ac:dyDescent="0.2">
      <c r="A745">
        <v>-2223.3634691276238</v>
      </c>
    </row>
    <row r="746" spans="1:1" x14ac:dyDescent="0.2">
      <c r="A746">
        <v>9520.9708417919755</v>
      </c>
    </row>
    <row r="747" spans="1:1" x14ac:dyDescent="0.2">
      <c r="A747">
        <v>-5925.177588607301</v>
      </c>
    </row>
    <row r="748" spans="1:1" x14ac:dyDescent="0.2">
      <c r="A748">
        <v>-10200.899093089625</v>
      </c>
    </row>
    <row r="749" spans="1:1" x14ac:dyDescent="0.2">
      <c r="A749">
        <v>-10999.981308106449</v>
      </c>
    </row>
    <row r="750" spans="1:1" x14ac:dyDescent="0.2">
      <c r="A750">
        <v>4781.4828024143062</v>
      </c>
    </row>
    <row r="751" spans="1:1" x14ac:dyDescent="0.2">
      <c r="A751">
        <v>1896.8684147672902</v>
      </c>
    </row>
    <row r="752" spans="1:1" x14ac:dyDescent="0.2">
      <c r="A752">
        <v>13431.01543044846</v>
      </c>
    </row>
    <row r="753" spans="1:1" x14ac:dyDescent="0.2">
      <c r="A753">
        <v>4244.1387679323816</v>
      </c>
    </row>
    <row r="754" spans="1:1" x14ac:dyDescent="0.2">
      <c r="A754">
        <v>458.20879240732756</v>
      </c>
    </row>
    <row r="755" spans="1:1" x14ac:dyDescent="0.2">
      <c r="A755">
        <v>12920.031113586447</v>
      </c>
    </row>
    <row r="756" spans="1:1" x14ac:dyDescent="0.2">
      <c r="A756">
        <v>28592.397741976718</v>
      </c>
    </row>
    <row r="757" spans="1:1" x14ac:dyDescent="0.2">
      <c r="A757">
        <v>11414.257275494165</v>
      </c>
    </row>
    <row r="758" spans="1:1" x14ac:dyDescent="0.2">
      <c r="A758">
        <v>12844.597245140641</v>
      </c>
    </row>
    <row r="759" spans="1:1" x14ac:dyDescent="0.2">
      <c r="A759">
        <v>-11219.461416108621</v>
      </c>
    </row>
    <row r="760" spans="1:1" x14ac:dyDescent="0.2">
      <c r="A760">
        <v>2359.3456328121538</v>
      </c>
    </row>
    <row r="761" spans="1:1" x14ac:dyDescent="0.2">
      <c r="A761">
        <v>4898.7775152859103</v>
      </c>
    </row>
    <row r="762" spans="1:1" x14ac:dyDescent="0.2">
      <c r="A762">
        <v>-1103.3468906182388</v>
      </c>
    </row>
    <row r="763" spans="1:1" x14ac:dyDescent="0.2">
      <c r="A763">
        <v>-2542.059654261102</v>
      </c>
    </row>
    <row r="764" spans="1:1" x14ac:dyDescent="0.2">
      <c r="A764">
        <v>2737.4417705934902</v>
      </c>
    </row>
    <row r="765" spans="1:1" x14ac:dyDescent="0.2">
      <c r="A765">
        <v>-6902.2480525622959</v>
      </c>
    </row>
    <row r="766" spans="1:1" x14ac:dyDescent="0.2">
      <c r="A766">
        <v>-8144.1086760203762</v>
      </c>
    </row>
    <row r="767" spans="1:1" x14ac:dyDescent="0.2">
      <c r="A767">
        <v>14482.147820849554</v>
      </c>
    </row>
    <row r="768" spans="1:1" x14ac:dyDescent="0.2">
      <c r="A768">
        <v>-7450.6038469970226</v>
      </c>
    </row>
    <row r="769" spans="1:1" x14ac:dyDescent="0.2">
      <c r="A769">
        <v>-11798.471948648192</v>
      </c>
    </row>
    <row r="770" spans="1:1" x14ac:dyDescent="0.2">
      <c r="A770">
        <v>-8055.8890527912299</v>
      </c>
    </row>
    <row r="771" spans="1:1" x14ac:dyDescent="0.2">
      <c r="A771">
        <v>-10814.323859920085</v>
      </c>
    </row>
    <row r="772" spans="1:1" x14ac:dyDescent="0.2">
      <c r="A772">
        <v>1392.1819940544083</v>
      </c>
    </row>
    <row r="773" spans="1:1" x14ac:dyDescent="0.2">
      <c r="A773">
        <v>3348.9763441864634</v>
      </c>
    </row>
    <row r="774" spans="1:1" x14ac:dyDescent="0.2">
      <c r="A774">
        <v>-2358.9265197862696</v>
      </c>
    </row>
    <row r="775" spans="1:1" x14ac:dyDescent="0.2">
      <c r="A775">
        <v>-25032.599870617501</v>
      </c>
    </row>
    <row r="776" spans="1:1" x14ac:dyDescent="0.2">
      <c r="A776">
        <v>-6437.8413012709352</v>
      </c>
    </row>
    <row r="777" spans="1:1" x14ac:dyDescent="0.2">
      <c r="A777">
        <v>10025.177981483284</v>
      </c>
    </row>
    <row r="778" spans="1:1" x14ac:dyDescent="0.2">
      <c r="A778">
        <v>2580.4803252918064</v>
      </c>
    </row>
    <row r="779" spans="1:1" x14ac:dyDescent="0.2">
      <c r="A779">
        <v>-7432.825066067162</v>
      </c>
    </row>
    <row r="780" spans="1:1" x14ac:dyDescent="0.2">
      <c r="A780">
        <v>-5183.9088030111452</v>
      </c>
    </row>
    <row r="781" spans="1:1" x14ac:dyDescent="0.2">
      <c r="A781">
        <v>7995.449763738492</v>
      </c>
    </row>
    <row r="782" spans="1:1" x14ac:dyDescent="0.2">
      <c r="A782">
        <v>11665.692517718591</v>
      </c>
    </row>
    <row r="783" spans="1:1" x14ac:dyDescent="0.2">
      <c r="A783">
        <v>-10454.294306967378</v>
      </c>
    </row>
    <row r="784" spans="1:1" x14ac:dyDescent="0.2">
      <c r="A784">
        <v>-20444.338737572747</v>
      </c>
    </row>
    <row r="785" spans="1:1" x14ac:dyDescent="0.2">
      <c r="A785">
        <v>13429.191062872589</v>
      </c>
    </row>
    <row r="786" spans="1:1" x14ac:dyDescent="0.2">
      <c r="A786">
        <v>-4428.0307786115445</v>
      </c>
    </row>
    <row r="787" spans="1:1" x14ac:dyDescent="0.2">
      <c r="A787">
        <v>10624.809086776746</v>
      </c>
    </row>
    <row r="788" spans="1:1" x14ac:dyDescent="0.2">
      <c r="A788">
        <v>-7554.4493173871597</v>
      </c>
    </row>
    <row r="789" spans="1:1" x14ac:dyDescent="0.2">
      <c r="A789">
        <v>1705.6223239192041</v>
      </c>
    </row>
    <row r="790" spans="1:1" x14ac:dyDescent="0.2">
      <c r="A790">
        <v>10171.761872961593</v>
      </c>
    </row>
    <row r="791" spans="1:1" x14ac:dyDescent="0.2">
      <c r="A791">
        <v>-9582.7789717552951</v>
      </c>
    </row>
    <row r="792" spans="1:1" x14ac:dyDescent="0.2">
      <c r="A792">
        <v>-3463.3347288712976</v>
      </c>
    </row>
    <row r="793" spans="1:1" x14ac:dyDescent="0.2">
      <c r="A793">
        <v>1072.4368805703125</v>
      </c>
    </row>
    <row r="794" spans="1:1" x14ac:dyDescent="0.2">
      <c r="A794">
        <v>2985.1235122350336</v>
      </c>
    </row>
    <row r="795" spans="1:1" x14ac:dyDescent="0.2">
      <c r="A795">
        <v>-7157.5567815346294</v>
      </c>
    </row>
    <row r="796" spans="1:1" x14ac:dyDescent="0.2">
      <c r="A796">
        <v>-840.37871788663324</v>
      </c>
    </row>
    <row r="797" spans="1:1" x14ac:dyDescent="0.2">
      <c r="A797">
        <v>3703.051890506933</v>
      </c>
    </row>
    <row r="798" spans="1:1" x14ac:dyDescent="0.2">
      <c r="A798">
        <v>14250.473760727153</v>
      </c>
    </row>
    <row r="799" spans="1:1" x14ac:dyDescent="0.2">
      <c r="A799">
        <v>10238.865825741901</v>
      </c>
    </row>
    <row r="800" spans="1:1" x14ac:dyDescent="0.2">
      <c r="A800">
        <v>-4540.7616193225258</v>
      </c>
    </row>
    <row r="801" spans="1:1" x14ac:dyDescent="0.2">
      <c r="A801">
        <v>-18780.965906001133</v>
      </c>
    </row>
    <row r="802" spans="1:1" x14ac:dyDescent="0.2">
      <c r="A802">
        <v>9176.5237832191633</v>
      </c>
    </row>
    <row r="803" spans="1:1" x14ac:dyDescent="0.2">
      <c r="A803">
        <v>16885.110507089616</v>
      </c>
    </row>
    <row r="804" spans="1:1" x14ac:dyDescent="0.2">
      <c r="A804">
        <v>4727.3295033861068</v>
      </c>
    </row>
    <row r="805" spans="1:1" x14ac:dyDescent="0.2">
      <c r="A805">
        <v>-2919.9019210555707</v>
      </c>
    </row>
    <row r="806" spans="1:1" x14ac:dyDescent="0.2">
      <c r="A806">
        <v>-19575.638751459046</v>
      </c>
    </row>
    <row r="807" spans="1:1" x14ac:dyDescent="0.2">
      <c r="A807">
        <v>8722.7819843681064</v>
      </c>
    </row>
    <row r="808" spans="1:1" x14ac:dyDescent="0.2">
      <c r="A808">
        <v>15541.780213270278</v>
      </c>
    </row>
    <row r="809" spans="1:1" x14ac:dyDescent="0.2">
      <c r="A809">
        <v>-13691.609302022873</v>
      </c>
    </row>
    <row r="810" spans="1:1" x14ac:dyDescent="0.2">
      <c r="A810">
        <v>2631.2759387305414</v>
      </c>
    </row>
    <row r="811" spans="1:1" x14ac:dyDescent="0.2">
      <c r="A811">
        <v>720.79098041704856</v>
      </c>
    </row>
    <row r="812" spans="1:1" x14ac:dyDescent="0.2">
      <c r="A812">
        <v>-5821.5511593657429</v>
      </c>
    </row>
    <row r="813" spans="1:1" x14ac:dyDescent="0.2">
      <c r="A813">
        <v>22302.01236422552</v>
      </c>
    </row>
    <row r="814" spans="1:1" x14ac:dyDescent="0.2">
      <c r="A814">
        <v>-1695.2520070762839</v>
      </c>
    </row>
    <row r="815" spans="1:1" x14ac:dyDescent="0.2">
      <c r="A815">
        <v>11335.891092833248</v>
      </c>
    </row>
    <row r="816" spans="1:1" x14ac:dyDescent="0.2">
      <c r="A816">
        <v>3177.6402635827835</v>
      </c>
    </row>
    <row r="817" spans="1:1" x14ac:dyDescent="0.2">
      <c r="A817">
        <v>10783.044935080514</v>
      </c>
    </row>
    <row r="818" spans="1:1" x14ac:dyDescent="0.2">
      <c r="A818">
        <v>14236.340694290644</v>
      </c>
    </row>
    <row r="819" spans="1:1" x14ac:dyDescent="0.2">
      <c r="A819">
        <v>4056.2410238015873</v>
      </c>
    </row>
    <row r="820" spans="1:1" x14ac:dyDescent="0.2">
      <c r="A820">
        <v>-1487.1204290641181</v>
      </c>
    </row>
    <row r="821" spans="1:1" x14ac:dyDescent="0.2">
      <c r="A821">
        <v>-40198.881381307147</v>
      </c>
    </row>
    <row r="822" spans="1:1" x14ac:dyDescent="0.2">
      <c r="A822">
        <v>259.95178079331527</v>
      </c>
    </row>
    <row r="823" spans="1:1" x14ac:dyDescent="0.2">
      <c r="A823">
        <v>8219.7854834850295</v>
      </c>
    </row>
    <row r="824" spans="1:1" x14ac:dyDescent="0.2">
      <c r="A824">
        <v>-2735.9337740512565</v>
      </c>
    </row>
    <row r="825" spans="1:1" x14ac:dyDescent="0.2">
      <c r="A825">
        <v>-1820.551881430205</v>
      </c>
    </row>
    <row r="826" spans="1:1" x14ac:dyDescent="0.2">
      <c r="A826">
        <v>-2182.4846774275939</v>
      </c>
    </row>
    <row r="827" spans="1:1" x14ac:dyDescent="0.2">
      <c r="A827">
        <v>10996.24411385812</v>
      </c>
    </row>
    <row r="828" spans="1:1" x14ac:dyDescent="0.2">
      <c r="A828">
        <v>-390.92089457422844</v>
      </c>
    </row>
    <row r="829" spans="1:1" x14ac:dyDescent="0.2">
      <c r="A829">
        <v>6874.5490220409411</v>
      </c>
    </row>
    <row r="830" spans="1:1" x14ac:dyDescent="0.2">
      <c r="A830">
        <v>-6537.8898754552647</v>
      </c>
    </row>
    <row r="831" spans="1:1" x14ac:dyDescent="0.2">
      <c r="A831">
        <v>5234.9900186442537</v>
      </c>
    </row>
    <row r="832" spans="1:1" x14ac:dyDescent="0.2">
      <c r="A832">
        <v>3645.1111802416272</v>
      </c>
    </row>
    <row r="833" spans="1:1" x14ac:dyDescent="0.2">
      <c r="A833">
        <v>5166.4887253724155</v>
      </c>
    </row>
    <row r="834" spans="1:1" x14ac:dyDescent="0.2">
      <c r="A834">
        <v>11969.390089605004</v>
      </c>
    </row>
    <row r="835" spans="1:1" x14ac:dyDescent="0.2">
      <c r="A835">
        <v>-3962.9659296322498</v>
      </c>
    </row>
    <row r="836" spans="1:1" x14ac:dyDescent="0.2">
      <c r="A836">
        <v>16499.534249519958</v>
      </c>
    </row>
    <row r="837" spans="1:1" x14ac:dyDescent="0.2">
      <c r="A837">
        <v>-11451.284987219842</v>
      </c>
    </row>
    <row r="838" spans="1:1" x14ac:dyDescent="0.2">
      <c r="A838">
        <v>-8352.2058700059715</v>
      </c>
    </row>
    <row r="839" spans="1:1" x14ac:dyDescent="0.2">
      <c r="A839">
        <v>1034.8051336538629</v>
      </c>
    </row>
    <row r="840" spans="1:1" x14ac:dyDescent="0.2">
      <c r="A840">
        <v>847.17380510061048</v>
      </c>
    </row>
    <row r="841" spans="1:1" x14ac:dyDescent="0.2">
      <c r="A841">
        <v>-15571.887238189869</v>
      </c>
    </row>
    <row r="842" spans="1:1" x14ac:dyDescent="0.2">
      <c r="A842">
        <v>718.51230048708385</v>
      </c>
    </row>
    <row r="843" spans="1:1" x14ac:dyDescent="0.2">
      <c r="A843">
        <v>-14507.990402883326</v>
      </c>
    </row>
    <row r="844" spans="1:1" x14ac:dyDescent="0.2">
      <c r="A844">
        <v>9074.897808194859</v>
      </c>
    </row>
    <row r="845" spans="1:1" x14ac:dyDescent="0.2">
      <c r="A845">
        <v>-11411.438971916534</v>
      </c>
    </row>
    <row r="846" spans="1:1" x14ac:dyDescent="0.2">
      <c r="A846">
        <v>-901.11017031036317</v>
      </c>
    </row>
    <row r="847" spans="1:1" x14ac:dyDescent="0.2">
      <c r="A847">
        <v>8971.5997687158524</v>
      </c>
    </row>
    <row r="848" spans="1:1" x14ac:dyDescent="0.2">
      <c r="A848">
        <v>-7608.6929437099025</v>
      </c>
    </row>
    <row r="849" spans="1:1" x14ac:dyDescent="0.2">
      <c r="A849">
        <v>2629.6295498551335</v>
      </c>
    </row>
    <row r="850" spans="1:1" x14ac:dyDescent="0.2">
      <c r="A850">
        <v>7578.2538374935975</v>
      </c>
    </row>
    <row r="851" spans="1:1" x14ac:dyDescent="0.2">
      <c r="A851">
        <v>4751.178678531578</v>
      </c>
    </row>
    <row r="852" spans="1:1" x14ac:dyDescent="0.2">
      <c r="A852">
        <v>-4378.2052926894394</v>
      </c>
    </row>
    <row r="853" spans="1:1" x14ac:dyDescent="0.2">
      <c r="A853">
        <v>14449.969160470006</v>
      </c>
    </row>
    <row r="854" spans="1:1" x14ac:dyDescent="0.2">
      <c r="A854">
        <v>3897.7197976293392</v>
      </c>
    </row>
    <row r="855" spans="1:1" x14ac:dyDescent="0.2">
      <c r="A855">
        <v>-1603.1302930398379</v>
      </c>
    </row>
    <row r="856" spans="1:1" x14ac:dyDescent="0.2">
      <c r="A856">
        <v>1670.1953760276665</v>
      </c>
    </row>
    <row r="857" spans="1:1" x14ac:dyDescent="0.2">
      <c r="A857">
        <v>-4400.2954054220754</v>
      </c>
    </row>
    <row r="858" spans="1:1" x14ac:dyDescent="0.2">
      <c r="A858">
        <v>7630.1135328415257</v>
      </c>
    </row>
    <row r="859" spans="1:1" x14ac:dyDescent="0.2">
      <c r="A859">
        <v>-898.72447601694148</v>
      </c>
    </row>
    <row r="860" spans="1:1" x14ac:dyDescent="0.2">
      <c r="A860">
        <v>-13561.291379796341</v>
      </c>
    </row>
    <row r="861" spans="1:1" x14ac:dyDescent="0.2">
      <c r="A861">
        <v>12686.864635674312</v>
      </c>
    </row>
    <row r="862" spans="1:1" x14ac:dyDescent="0.2">
      <c r="A862">
        <v>-1664.0099870993872</v>
      </c>
    </row>
    <row r="863" spans="1:1" x14ac:dyDescent="0.2">
      <c r="A863">
        <v>-2405.4802350592217</v>
      </c>
    </row>
    <row r="864" spans="1:1" x14ac:dyDescent="0.2">
      <c r="A864">
        <v>13913.399020901299</v>
      </c>
    </row>
    <row r="865" spans="1:1" x14ac:dyDescent="0.2">
      <c r="A865">
        <v>1281.8675003679818</v>
      </c>
    </row>
    <row r="866" spans="1:1" x14ac:dyDescent="0.2">
      <c r="A866">
        <v>-3214.8940154013108</v>
      </c>
    </row>
    <row r="867" spans="1:1" x14ac:dyDescent="0.2">
      <c r="A867">
        <v>-4096.0362742923317</v>
      </c>
    </row>
    <row r="868" spans="1:1" x14ac:dyDescent="0.2">
      <c r="A868">
        <v>9584.5778108869563</v>
      </c>
    </row>
    <row r="869" spans="1:1" x14ac:dyDescent="0.2">
      <c r="A869">
        <v>-11724.31072456963</v>
      </c>
    </row>
    <row r="870" spans="1:1" x14ac:dyDescent="0.2">
      <c r="A870">
        <v>-9043.3142063999258</v>
      </c>
    </row>
    <row r="871" spans="1:1" x14ac:dyDescent="0.2">
      <c r="A871">
        <v>4763.3384732519626</v>
      </c>
    </row>
    <row r="872" spans="1:1" x14ac:dyDescent="0.2">
      <c r="A872">
        <v>-3717.5770175856887</v>
      </c>
    </row>
    <row r="873" spans="1:1" x14ac:dyDescent="0.2">
      <c r="A873">
        <v>19650.062361448421</v>
      </c>
    </row>
    <row r="874" spans="1:1" x14ac:dyDescent="0.2">
      <c r="A874">
        <v>-1904.2802815490286</v>
      </c>
    </row>
    <row r="875" spans="1:1" x14ac:dyDescent="0.2">
      <c r="A875">
        <v>4250.3628027339582</v>
      </c>
    </row>
    <row r="876" spans="1:1" x14ac:dyDescent="0.2">
      <c r="A876">
        <v>516.01915965904482</v>
      </c>
    </row>
    <row r="877" spans="1:1" x14ac:dyDescent="0.2">
      <c r="A877">
        <v>9417.3024039640732</v>
      </c>
    </row>
    <row r="878" spans="1:1" x14ac:dyDescent="0.2">
      <c r="A878">
        <v>-546.92416103335563</v>
      </c>
    </row>
    <row r="879" spans="1:1" x14ac:dyDescent="0.2">
      <c r="A879">
        <v>-5097.8503610691114</v>
      </c>
    </row>
    <row r="880" spans="1:1" x14ac:dyDescent="0.2">
      <c r="A880">
        <v>18781.351068685588</v>
      </c>
    </row>
    <row r="881" spans="1:1" x14ac:dyDescent="0.2">
      <c r="A881">
        <v>15216.178714157082</v>
      </c>
    </row>
    <row r="882" spans="1:1" x14ac:dyDescent="0.2">
      <c r="A882">
        <v>-6627.6540963216976</v>
      </c>
    </row>
    <row r="883" spans="1:1" x14ac:dyDescent="0.2">
      <c r="A883">
        <v>-12286.528573252348</v>
      </c>
    </row>
    <row r="884" spans="1:1" x14ac:dyDescent="0.2">
      <c r="A884">
        <v>5756.0098291606992</v>
      </c>
    </row>
    <row r="885" spans="1:1" x14ac:dyDescent="0.2">
      <c r="A885">
        <v>8710.93399235385</v>
      </c>
    </row>
    <row r="886" spans="1:1" x14ac:dyDescent="0.2">
      <c r="A886">
        <v>543.17467883016798</v>
      </c>
    </row>
    <row r="887" spans="1:1" x14ac:dyDescent="0.2">
      <c r="A887">
        <v>2245.7377817927045</v>
      </c>
    </row>
    <row r="888" spans="1:1" x14ac:dyDescent="0.2">
      <c r="A888">
        <v>-6134.5523710428388</v>
      </c>
    </row>
    <row r="889" spans="1:1" x14ac:dyDescent="0.2">
      <c r="A889">
        <v>6324.128532262519</v>
      </c>
    </row>
    <row r="890" spans="1:1" x14ac:dyDescent="0.2">
      <c r="A890">
        <v>8936.1711577837996</v>
      </c>
    </row>
    <row r="891" spans="1:1" x14ac:dyDescent="0.2">
      <c r="A891">
        <v>-3224.0893792635761</v>
      </c>
    </row>
    <row r="892" spans="1:1" x14ac:dyDescent="0.2">
      <c r="A892">
        <v>-4323.3238980094611</v>
      </c>
    </row>
    <row r="893" spans="1:1" x14ac:dyDescent="0.2">
      <c r="A893">
        <v>-17484.6975802792</v>
      </c>
    </row>
    <row r="894" spans="1:1" x14ac:dyDescent="0.2">
      <c r="A894">
        <v>8420.3785218727426</v>
      </c>
    </row>
    <row r="895" spans="1:1" x14ac:dyDescent="0.2">
      <c r="A895">
        <v>-13303.584158622718</v>
      </c>
    </row>
    <row r="896" spans="1:1" x14ac:dyDescent="0.2">
      <c r="A896">
        <v>4115.0488728183263</v>
      </c>
    </row>
    <row r="897" spans="1:1" x14ac:dyDescent="0.2">
      <c r="A897">
        <v>10.222878691565711</v>
      </c>
    </row>
    <row r="898" spans="1:1" x14ac:dyDescent="0.2">
      <c r="A898">
        <v>-1262.0784076729178</v>
      </c>
    </row>
    <row r="899" spans="1:1" x14ac:dyDescent="0.2">
      <c r="A899">
        <v>-6839.8643999857595</v>
      </c>
    </row>
    <row r="900" spans="1:1" x14ac:dyDescent="0.2">
      <c r="A900">
        <v>9543.0021783715929</v>
      </c>
    </row>
    <row r="901" spans="1:1" x14ac:dyDescent="0.2">
      <c r="A901">
        <v>-8866.4198511427385</v>
      </c>
    </row>
    <row r="902" spans="1:1" x14ac:dyDescent="0.2">
      <c r="A902">
        <v>-4928.1725496738218</v>
      </c>
    </row>
    <row r="903" spans="1:1" x14ac:dyDescent="0.2">
      <c r="A903">
        <v>20203.981581615662</v>
      </c>
    </row>
    <row r="904" spans="1:1" x14ac:dyDescent="0.2">
      <c r="A904">
        <v>19081.903801965018</v>
      </c>
    </row>
    <row r="905" spans="1:1" x14ac:dyDescent="0.2">
      <c r="A905">
        <v>18123.226225882012</v>
      </c>
    </row>
    <row r="906" spans="1:1" x14ac:dyDescent="0.2">
      <c r="A906">
        <v>5472.0913672747265</v>
      </c>
    </row>
    <row r="907" spans="1:1" x14ac:dyDescent="0.2">
      <c r="A907">
        <v>-1097.2122283256613</v>
      </c>
    </row>
    <row r="908" spans="1:1" x14ac:dyDescent="0.2">
      <c r="A908">
        <v>-15840.662756819976</v>
      </c>
    </row>
    <row r="909" spans="1:1" x14ac:dyDescent="0.2">
      <c r="A909">
        <v>-4220.4878292769135</v>
      </c>
    </row>
    <row r="910" spans="1:1" x14ac:dyDescent="0.2">
      <c r="A910">
        <v>9920.2804997205385</v>
      </c>
    </row>
    <row r="911" spans="1:1" x14ac:dyDescent="0.2">
      <c r="A911">
        <v>16723.160553140391</v>
      </c>
    </row>
    <row r="912" spans="1:1" x14ac:dyDescent="0.2">
      <c r="A912">
        <v>189.56475239025895</v>
      </c>
    </row>
    <row r="913" spans="1:1" x14ac:dyDescent="0.2">
      <c r="A913">
        <v>-6701.0102163494448</v>
      </c>
    </row>
    <row r="914" spans="1:1" x14ac:dyDescent="0.2">
      <c r="A914">
        <v>22514.683533190808</v>
      </c>
    </row>
    <row r="915" spans="1:1" x14ac:dyDescent="0.2">
      <c r="A915">
        <v>-2158.3294346891635</v>
      </c>
    </row>
    <row r="916" spans="1:1" x14ac:dyDescent="0.2">
      <c r="A916">
        <v>-29.256721207028022</v>
      </c>
    </row>
    <row r="917" spans="1:1" x14ac:dyDescent="0.2">
      <c r="A917">
        <v>-5659.1383123694104</v>
      </c>
    </row>
    <row r="918" spans="1:1" x14ac:dyDescent="0.2">
      <c r="A918">
        <v>14109.554865107057</v>
      </c>
    </row>
    <row r="919" spans="1:1" x14ac:dyDescent="0.2">
      <c r="A919">
        <v>14060.023747983971</v>
      </c>
    </row>
    <row r="920" spans="1:1" x14ac:dyDescent="0.2">
      <c r="A920">
        <v>2669.0096031068242</v>
      </c>
    </row>
    <row r="921" spans="1:1" x14ac:dyDescent="0.2">
      <c r="A921">
        <v>-3328.1223671922053</v>
      </c>
    </row>
    <row r="922" spans="1:1" x14ac:dyDescent="0.2">
      <c r="A922">
        <v>5098.5432767061284</v>
      </c>
    </row>
    <row r="923" spans="1:1" x14ac:dyDescent="0.2">
      <c r="A923">
        <v>-1197.862083117594</v>
      </c>
    </row>
    <row r="924" spans="1:1" x14ac:dyDescent="0.2">
      <c r="A924">
        <v>3061.9105241182842</v>
      </c>
    </row>
    <row r="925" spans="1:1" x14ac:dyDescent="0.2">
      <c r="A925">
        <v>-5223.8977387319901</v>
      </c>
    </row>
    <row r="926" spans="1:1" x14ac:dyDescent="0.2">
      <c r="A926">
        <v>-9485.7767675161595</v>
      </c>
    </row>
    <row r="927" spans="1:1" x14ac:dyDescent="0.2">
      <c r="A927">
        <v>4504.016754623095</v>
      </c>
    </row>
    <row r="928" spans="1:1" x14ac:dyDescent="0.2">
      <c r="A928">
        <v>2765.2852191075217</v>
      </c>
    </row>
    <row r="929" spans="1:1" x14ac:dyDescent="0.2">
      <c r="A929">
        <v>9194.1174796717532</v>
      </c>
    </row>
    <row r="930" spans="1:1" x14ac:dyDescent="0.2">
      <c r="A930">
        <v>4066.5376459613035</v>
      </c>
    </row>
    <row r="931" spans="1:1" x14ac:dyDescent="0.2">
      <c r="A931">
        <v>1087.688766979496</v>
      </c>
    </row>
    <row r="932" spans="1:1" x14ac:dyDescent="0.2">
      <c r="A932">
        <v>1728.988279013196</v>
      </c>
    </row>
    <row r="933" spans="1:1" x14ac:dyDescent="0.2">
      <c r="A933">
        <v>-6863.0578383433749</v>
      </c>
    </row>
    <row r="934" spans="1:1" x14ac:dyDescent="0.2">
      <c r="A934">
        <v>8403.1106991331908</v>
      </c>
    </row>
    <row r="935" spans="1:1" x14ac:dyDescent="0.2">
      <c r="A935">
        <v>-7587.0888061363657</v>
      </c>
    </row>
    <row r="936" spans="1:1" x14ac:dyDescent="0.2">
      <c r="A936">
        <v>-7508.6905490804056</v>
      </c>
    </row>
    <row r="937" spans="1:1" x14ac:dyDescent="0.2">
      <c r="A937">
        <v>-6012.682965043874</v>
      </c>
    </row>
    <row r="938" spans="1:1" x14ac:dyDescent="0.2">
      <c r="A938">
        <v>-13344.514891871542</v>
      </c>
    </row>
    <row r="939" spans="1:1" x14ac:dyDescent="0.2">
      <c r="A939">
        <v>-6982.7968543291208</v>
      </c>
    </row>
    <row r="940" spans="1:1" x14ac:dyDescent="0.2">
      <c r="A940">
        <v>6779.0613494768913</v>
      </c>
    </row>
    <row r="941" spans="1:1" x14ac:dyDescent="0.2">
      <c r="A941">
        <v>-3440.5273740622215</v>
      </c>
    </row>
    <row r="942" spans="1:1" x14ac:dyDescent="0.2">
      <c r="A942">
        <v>-4288.2558067418868</v>
      </c>
    </row>
    <row r="943" spans="1:1" x14ac:dyDescent="0.2">
      <c r="A943">
        <v>-5934.5241907601303</v>
      </c>
    </row>
    <row r="944" spans="1:1" x14ac:dyDescent="0.2">
      <c r="A944">
        <v>11634.770772208605</v>
      </c>
    </row>
    <row r="945" spans="1:1" x14ac:dyDescent="0.2">
      <c r="A945">
        <v>-885.23490631023014</v>
      </c>
    </row>
    <row r="946" spans="1:1" x14ac:dyDescent="0.2">
      <c r="A946">
        <v>8547.9189085082617</v>
      </c>
    </row>
    <row r="947" spans="1:1" x14ac:dyDescent="0.2">
      <c r="A947">
        <v>11543.847124744789</v>
      </c>
    </row>
    <row r="948" spans="1:1" x14ac:dyDescent="0.2">
      <c r="A948">
        <v>2708.0534353038238</v>
      </c>
    </row>
    <row r="949" spans="1:1" x14ac:dyDescent="0.2">
      <c r="A949">
        <v>-5249.9480603841948</v>
      </c>
    </row>
    <row r="950" spans="1:1" x14ac:dyDescent="0.2">
      <c r="A950">
        <v>21620.411344929482</v>
      </c>
    </row>
    <row r="951" spans="1:1" x14ac:dyDescent="0.2">
      <c r="A951">
        <v>636.00174107775092</v>
      </c>
    </row>
    <row r="952" spans="1:1" x14ac:dyDescent="0.2">
      <c r="A952">
        <v>14243.070426706283</v>
      </c>
    </row>
    <row r="953" spans="1:1" x14ac:dyDescent="0.2">
      <c r="A953">
        <v>-3305.2616101213498</v>
      </c>
    </row>
    <row r="954" spans="1:1" x14ac:dyDescent="0.2">
      <c r="A954">
        <v>-8594.472208633204</v>
      </c>
    </row>
    <row r="955" spans="1:1" x14ac:dyDescent="0.2">
      <c r="A955">
        <v>-742.06327685399447</v>
      </c>
    </row>
    <row r="956" spans="1:1" x14ac:dyDescent="0.2">
      <c r="A956">
        <v>-1710.0922097944713</v>
      </c>
    </row>
    <row r="957" spans="1:1" x14ac:dyDescent="0.2">
      <c r="A957">
        <v>685.21615822930471</v>
      </c>
    </row>
    <row r="958" spans="1:1" x14ac:dyDescent="0.2">
      <c r="A958">
        <v>2063.8846603184938</v>
      </c>
    </row>
    <row r="959" spans="1:1" x14ac:dyDescent="0.2">
      <c r="A959">
        <v>-8293.3819232819369</v>
      </c>
    </row>
    <row r="960" spans="1:1" x14ac:dyDescent="0.2">
      <c r="A960">
        <v>-401.58805360583938</v>
      </c>
    </row>
    <row r="961" spans="1:1" x14ac:dyDescent="0.2">
      <c r="A961">
        <v>-44394.695381700818</v>
      </c>
    </row>
    <row r="962" spans="1:1" x14ac:dyDescent="0.2">
      <c r="A962">
        <v>-12581.820959725068</v>
      </c>
    </row>
    <row r="963" spans="1:1" x14ac:dyDescent="0.2">
      <c r="A963">
        <v>5654.6329098268179</v>
      </c>
    </row>
    <row r="964" spans="1:1" x14ac:dyDescent="0.2">
      <c r="A964">
        <v>1107.7703760100412</v>
      </c>
    </row>
    <row r="965" spans="1:1" x14ac:dyDescent="0.2">
      <c r="A965">
        <v>5494.9120707068942</v>
      </c>
    </row>
    <row r="966" spans="1:1" x14ac:dyDescent="0.2">
      <c r="A966">
        <v>-3401.2787357803318</v>
      </c>
    </row>
    <row r="967" spans="1:1" x14ac:dyDescent="0.2">
      <c r="A967">
        <v>9888.6219230624556</v>
      </c>
    </row>
    <row r="968" spans="1:1" x14ac:dyDescent="0.2">
      <c r="A968">
        <v>-11.215880800853483</v>
      </c>
    </row>
    <row r="969" spans="1:1" x14ac:dyDescent="0.2">
      <c r="A969">
        <v>18426.317377676634</v>
      </c>
    </row>
    <row r="970" spans="1:1" x14ac:dyDescent="0.2">
      <c r="A970">
        <v>5629.5802436981758</v>
      </c>
    </row>
    <row r="971" spans="1:1" x14ac:dyDescent="0.2">
      <c r="A971">
        <v>13362.564115445595</v>
      </c>
    </row>
    <row r="972" spans="1:1" x14ac:dyDescent="0.2">
      <c r="A972">
        <v>-7086.6608045636967</v>
      </c>
    </row>
    <row r="973" spans="1:1" x14ac:dyDescent="0.2">
      <c r="A973">
        <v>-15529.004225190089</v>
      </c>
    </row>
    <row r="974" spans="1:1" x14ac:dyDescent="0.2">
      <c r="A974">
        <v>-11282.067692278768</v>
      </c>
    </row>
    <row r="975" spans="1:1" x14ac:dyDescent="0.2">
      <c r="A975">
        <v>3950.0132672992186</v>
      </c>
    </row>
    <row r="976" spans="1:1" x14ac:dyDescent="0.2">
      <c r="A976">
        <v>-5861.7949156991672</v>
      </c>
    </row>
    <row r="977" spans="1:1" x14ac:dyDescent="0.2">
      <c r="A977">
        <v>3087.7874653532635</v>
      </c>
    </row>
    <row r="978" spans="1:1" x14ac:dyDescent="0.2">
      <c r="A978">
        <v>-5882.5584113446821</v>
      </c>
    </row>
    <row r="979" spans="1:1" x14ac:dyDescent="0.2">
      <c r="A979">
        <v>-4986.8396527213918</v>
      </c>
    </row>
    <row r="980" spans="1:1" x14ac:dyDescent="0.2">
      <c r="A980">
        <v>4621.6974054651801</v>
      </c>
    </row>
    <row r="981" spans="1:1" x14ac:dyDescent="0.2">
      <c r="A981">
        <v>961.36583330249414</v>
      </c>
    </row>
    <row r="982" spans="1:1" x14ac:dyDescent="0.2">
      <c r="A982">
        <v>-11623.739123638021</v>
      </c>
    </row>
    <row r="983" spans="1:1" x14ac:dyDescent="0.2">
      <c r="A983">
        <v>-60.582134144060547</v>
      </c>
    </row>
    <row r="984" spans="1:1" x14ac:dyDescent="0.2">
      <c r="A984">
        <v>7470.9458464064664</v>
      </c>
    </row>
    <row r="985" spans="1:1" x14ac:dyDescent="0.2">
      <c r="A985">
        <v>-323.42490081535652</v>
      </c>
    </row>
    <row r="986" spans="1:1" x14ac:dyDescent="0.2">
      <c r="A986">
        <v>-9992.8762627449469</v>
      </c>
    </row>
    <row r="987" spans="1:1" x14ac:dyDescent="0.2">
      <c r="A987">
        <v>-16529.667371898016</v>
      </c>
    </row>
    <row r="988" spans="1:1" x14ac:dyDescent="0.2">
      <c r="A988">
        <v>-7378.6546833704924</v>
      </c>
    </row>
    <row r="989" spans="1:1" x14ac:dyDescent="0.2">
      <c r="A989">
        <v>-5363.1019511493505</v>
      </c>
    </row>
    <row r="990" spans="1:1" x14ac:dyDescent="0.2">
      <c r="A990">
        <v>4252.394096849428</v>
      </c>
    </row>
    <row r="991" spans="1:1" x14ac:dyDescent="0.2">
      <c r="A991">
        <v>2523.6654450339847</v>
      </c>
    </row>
    <row r="992" spans="1:1" x14ac:dyDescent="0.2">
      <c r="A992">
        <v>10801.271698916476</v>
      </c>
    </row>
    <row r="993" spans="1:1" x14ac:dyDescent="0.2">
      <c r="A993">
        <v>6032.5588816571399</v>
      </c>
    </row>
    <row r="994" spans="1:1" x14ac:dyDescent="0.2">
      <c r="A994">
        <v>15890.206121943076</v>
      </c>
    </row>
    <row r="995" spans="1:1" x14ac:dyDescent="0.2">
      <c r="A995">
        <v>11940.319780524762</v>
      </c>
    </row>
    <row r="996" spans="1:1" x14ac:dyDescent="0.2">
      <c r="A996">
        <v>12612.469003153266</v>
      </c>
    </row>
    <row r="997" spans="1:1" x14ac:dyDescent="0.2">
      <c r="A997">
        <v>16213.799962165358</v>
      </c>
    </row>
    <row r="998" spans="1:1" x14ac:dyDescent="0.2">
      <c r="A998">
        <v>7582.5184645258996</v>
      </c>
    </row>
    <row r="999" spans="1:1" x14ac:dyDescent="0.2">
      <c r="A999">
        <v>5715.9870734314609</v>
      </c>
    </row>
    <row r="1000" spans="1:1" x14ac:dyDescent="0.2">
      <c r="A1000">
        <v>3017.2539277975739</v>
      </c>
    </row>
    <row r="1001" spans="1:1" x14ac:dyDescent="0.2">
      <c r="A1001">
        <v>-18539.853516541712</v>
      </c>
    </row>
    <row r="1002" spans="1:1" x14ac:dyDescent="0.2">
      <c r="A1002">
        <v>-5410.2898171133711</v>
      </c>
    </row>
    <row r="1003" spans="1:1" x14ac:dyDescent="0.2">
      <c r="A1003">
        <v>16713.65438615621</v>
      </c>
    </row>
    <row r="1004" spans="1:1" x14ac:dyDescent="0.2">
      <c r="A1004">
        <v>5109.9137514272006</v>
      </c>
    </row>
    <row r="1005" spans="1:1" x14ac:dyDescent="0.2">
      <c r="A1005">
        <v>-384.33570843929192</v>
      </c>
    </row>
    <row r="1006" spans="1:1" x14ac:dyDescent="0.2">
      <c r="A1006">
        <v>650.55256667212234</v>
      </c>
    </row>
    <row r="1007" spans="1:1" x14ac:dyDescent="0.2">
      <c r="A1007">
        <v>-1566.1632014406496</v>
      </c>
    </row>
    <row r="1008" spans="1:1" x14ac:dyDescent="0.2">
      <c r="A1008">
        <v>9091.8391101653979</v>
      </c>
    </row>
    <row r="1009" spans="1:1" x14ac:dyDescent="0.2">
      <c r="A1009">
        <v>8498.1002910005045</v>
      </c>
    </row>
    <row r="1010" spans="1:1" x14ac:dyDescent="0.2">
      <c r="A1010">
        <v>-12211.638947203464</v>
      </c>
    </row>
    <row r="1011" spans="1:1" x14ac:dyDescent="0.2">
      <c r="A1011">
        <v>12017.351690382464</v>
      </c>
    </row>
    <row r="1012" spans="1:1" x14ac:dyDescent="0.2">
      <c r="A1012">
        <v>2772.3546403686632</v>
      </c>
    </row>
    <row r="1013" spans="1:1" x14ac:dyDescent="0.2">
      <c r="A1013">
        <v>833.41608468513004</v>
      </c>
    </row>
    <row r="1014" spans="1:1" x14ac:dyDescent="0.2">
      <c r="A1014">
        <v>-6329.3920720144524</v>
      </c>
    </row>
    <row r="1015" spans="1:1" x14ac:dyDescent="0.2">
      <c r="A1015">
        <v>5859.2257244214998</v>
      </c>
    </row>
    <row r="1016" spans="1:1" x14ac:dyDescent="0.2">
      <c r="A1016">
        <v>-3274.1237739829521</v>
      </c>
    </row>
    <row r="1017" spans="1:1" x14ac:dyDescent="0.2">
      <c r="A1017">
        <v>7690.6302177264879</v>
      </c>
    </row>
    <row r="1018" spans="1:1" x14ac:dyDescent="0.2">
      <c r="A1018">
        <v>-22238.623718218179</v>
      </c>
    </row>
    <row r="1019" spans="1:1" x14ac:dyDescent="0.2">
      <c r="A1019">
        <v>5435.4351937684405</v>
      </c>
    </row>
    <row r="1020" spans="1:1" x14ac:dyDescent="0.2">
      <c r="A1020">
        <v>6066.4361935877387</v>
      </c>
    </row>
    <row r="1021" spans="1:1" x14ac:dyDescent="0.2">
      <c r="A1021">
        <v>-89.743337107356638</v>
      </c>
    </row>
    <row r="1022" spans="1:1" x14ac:dyDescent="0.2">
      <c r="A1022">
        <v>2047.0032216252876</v>
      </c>
    </row>
    <row r="1023" spans="1:1" x14ac:dyDescent="0.2">
      <c r="A1023">
        <v>-3714.404848973325</v>
      </c>
    </row>
    <row r="1024" spans="1:1" x14ac:dyDescent="0.2">
      <c r="A1024">
        <v>-18208.039181947766</v>
      </c>
    </row>
    <row r="1025" spans="1:1" x14ac:dyDescent="0.2">
      <c r="A1025">
        <v>897.71712542741443</v>
      </c>
    </row>
    <row r="1026" spans="1:1" x14ac:dyDescent="0.2">
      <c r="A1026">
        <v>-4487.6609972357401</v>
      </c>
    </row>
    <row r="1027" spans="1:1" x14ac:dyDescent="0.2">
      <c r="A1027">
        <v>-25479.37308014452</v>
      </c>
    </row>
    <row r="1028" spans="1:1" x14ac:dyDescent="0.2">
      <c r="A1028">
        <v>8362.3784350623318</v>
      </c>
    </row>
    <row r="1029" spans="1:1" x14ac:dyDescent="0.2">
      <c r="A1029">
        <v>-2929.7104078994307</v>
      </c>
    </row>
    <row r="1030" spans="1:1" x14ac:dyDescent="0.2">
      <c r="A1030">
        <v>967.88220978190657</v>
      </c>
    </row>
    <row r="1031" spans="1:1" x14ac:dyDescent="0.2">
      <c r="A1031">
        <v>5224.9167312079226</v>
      </c>
    </row>
    <row r="1032" spans="1:1" x14ac:dyDescent="0.2">
      <c r="A1032">
        <v>-3644.7496128213825</v>
      </c>
    </row>
    <row r="1033" spans="1:1" x14ac:dyDescent="0.2">
      <c r="A1033">
        <v>-1338.6516059493879</v>
      </c>
    </row>
    <row r="1034" spans="1:1" x14ac:dyDescent="0.2">
      <c r="A1034">
        <v>16339.202067485923</v>
      </c>
    </row>
    <row r="1035" spans="1:1" x14ac:dyDescent="0.2">
      <c r="A1035">
        <v>4589.8388592112169</v>
      </c>
    </row>
    <row r="1036" spans="1:1" x14ac:dyDescent="0.2">
      <c r="A1036">
        <v>-9494.2621643755119</v>
      </c>
    </row>
    <row r="1037" spans="1:1" x14ac:dyDescent="0.2">
      <c r="A1037">
        <v>446.67406800854951</v>
      </c>
    </row>
    <row r="1038" spans="1:1" x14ac:dyDescent="0.2">
      <c r="A1038">
        <v>-6294.3952512971591</v>
      </c>
    </row>
    <row r="1039" spans="1:1" x14ac:dyDescent="0.2">
      <c r="A1039">
        <v>-15683.234639431728</v>
      </c>
    </row>
    <row r="1040" spans="1:1" x14ac:dyDescent="0.2">
      <c r="A1040">
        <v>806.81842613482149</v>
      </c>
    </row>
    <row r="1041" spans="1:1" x14ac:dyDescent="0.2">
      <c r="A1041">
        <v>-4228.5638718749688</v>
      </c>
    </row>
    <row r="1042" spans="1:1" x14ac:dyDescent="0.2">
      <c r="A1042">
        <v>5388.9124260917306</v>
      </c>
    </row>
    <row r="1043" spans="1:1" x14ac:dyDescent="0.2">
      <c r="A1043">
        <v>-11677.026872057351</v>
      </c>
    </row>
    <row r="1044" spans="1:1" x14ac:dyDescent="0.2">
      <c r="A1044">
        <v>4439.3710804771108</v>
      </c>
    </row>
    <row r="1045" spans="1:1" x14ac:dyDescent="0.2">
      <c r="A1045">
        <v>12549.054863576224</v>
      </c>
    </row>
    <row r="1046" spans="1:1" x14ac:dyDescent="0.2">
      <c r="A1046">
        <v>-5213.7345971312607</v>
      </c>
    </row>
    <row r="1047" spans="1:1" x14ac:dyDescent="0.2">
      <c r="A1047">
        <v>1187.6270018836658</v>
      </c>
    </row>
    <row r="1048" spans="1:1" x14ac:dyDescent="0.2">
      <c r="A1048">
        <v>-5233.6974423096981</v>
      </c>
    </row>
    <row r="1049" spans="1:1" x14ac:dyDescent="0.2">
      <c r="A1049">
        <v>2841.4151073155226</v>
      </c>
    </row>
    <row r="1050" spans="1:1" x14ac:dyDescent="0.2">
      <c r="A1050">
        <v>-9338.8747140562919</v>
      </c>
    </row>
    <row r="1051" spans="1:1" x14ac:dyDescent="0.2">
      <c r="A1051">
        <v>4589.6564340838813</v>
      </c>
    </row>
    <row r="1052" spans="1:1" x14ac:dyDescent="0.2">
      <c r="A1052">
        <v>10697.364589612058</v>
      </c>
    </row>
    <row r="1053" spans="1:1" x14ac:dyDescent="0.2">
      <c r="A1053">
        <v>-13047.33777518454</v>
      </c>
    </row>
    <row r="1054" spans="1:1" x14ac:dyDescent="0.2">
      <c r="A1054">
        <v>-4816.079661430791</v>
      </c>
    </row>
    <row r="1055" spans="1:1" x14ac:dyDescent="0.2">
      <c r="A1055">
        <v>9784.0411318082479</v>
      </c>
    </row>
    <row r="1056" spans="1:1" x14ac:dyDescent="0.2">
      <c r="A1056">
        <v>2187.3092641188414</v>
      </c>
    </row>
    <row r="1057" spans="1:1" x14ac:dyDescent="0.2">
      <c r="A1057">
        <v>-424.18817924600444</v>
      </c>
    </row>
    <row r="1058" spans="1:1" x14ac:dyDescent="0.2">
      <c r="A1058">
        <v>4985.841770195344</v>
      </c>
    </row>
    <row r="1059" spans="1:1" x14ac:dyDescent="0.2">
      <c r="A1059">
        <v>-7977.37837110291</v>
      </c>
    </row>
    <row r="1060" spans="1:1" x14ac:dyDescent="0.2">
      <c r="A1060">
        <v>-10164.018035708985</v>
      </c>
    </row>
    <row r="1061" spans="1:1" x14ac:dyDescent="0.2">
      <c r="A1061">
        <v>-5828.0869382368983</v>
      </c>
    </row>
    <row r="1062" spans="1:1" x14ac:dyDescent="0.2">
      <c r="A1062">
        <v>7663.0959238715004</v>
      </c>
    </row>
    <row r="1063" spans="1:1" x14ac:dyDescent="0.2">
      <c r="A1063">
        <v>6789.911777248024</v>
      </c>
    </row>
    <row r="1064" spans="1:1" x14ac:dyDescent="0.2">
      <c r="A1064">
        <v>5494.6042761797144</v>
      </c>
    </row>
    <row r="1065" spans="1:1" x14ac:dyDescent="0.2">
      <c r="A1065">
        <v>-11627.66751195403</v>
      </c>
    </row>
    <row r="1066" spans="1:1" x14ac:dyDescent="0.2">
      <c r="A1066">
        <v>4519.1995777006377</v>
      </c>
    </row>
    <row r="1067" spans="1:1" x14ac:dyDescent="0.2">
      <c r="A1067">
        <v>9723.4251184888999</v>
      </c>
    </row>
    <row r="1068" spans="1:1" x14ac:dyDescent="0.2">
      <c r="A1068">
        <v>8315.191013307689</v>
      </c>
    </row>
    <row r="1069" spans="1:1" x14ac:dyDescent="0.2">
      <c r="A1069">
        <v>22227.430765867437</v>
      </c>
    </row>
    <row r="1070" spans="1:1" x14ac:dyDescent="0.2">
      <c r="A1070">
        <v>11473.702109026635</v>
      </c>
    </row>
    <row r="1071" spans="1:1" x14ac:dyDescent="0.2">
      <c r="A1071">
        <v>14344.333915927942</v>
      </c>
    </row>
    <row r="1072" spans="1:1" x14ac:dyDescent="0.2">
      <c r="A1072">
        <v>2322.8532434576191</v>
      </c>
    </row>
    <row r="1073" spans="1:1" x14ac:dyDescent="0.2">
      <c r="A1073">
        <v>7920.4747993716155</v>
      </c>
    </row>
    <row r="1074" spans="1:1" x14ac:dyDescent="0.2">
      <c r="A1074">
        <v>6525.1461677902262</v>
      </c>
    </row>
    <row r="1075" spans="1:1" x14ac:dyDescent="0.2">
      <c r="A1075">
        <v>16654.884737515706</v>
      </c>
    </row>
    <row r="1076" spans="1:1" x14ac:dyDescent="0.2">
      <c r="A1076">
        <v>7682.5827768929303</v>
      </c>
    </row>
    <row r="1077" spans="1:1" x14ac:dyDescent="0.2">
      <c r="A1077">
        <v>-3786.2676323905762</v>
      </c>
    </row>
    <row r="1078" spans="1:1" x14ac:dyDescent="0.2">
      <c r="A1078">
        <v>8128.1264102634741</v>
      </c>
    </row>
    <row r="1079" spans="1:1" x14ac:dyDescent="0.2">
      <c r="A1079">
        <v>-20232.079342847806</v>
      </c>
    </row>
    <row r="1080" spans="1:1" x14ac:dyDescent="0.2">
      <c r="A1080">
        <v>-1674.7175162078347</v>
      </c>
    </row>
    <row r="1081" spans="1:1" x14ac:dyDescent="0.2">
      <c r="A1081">
        <v>12978.61220507056</v>
      </c>
    </row>
    <row r="1082" spans="1:1" x14ac:dyDescent="0.2">
      <c r="A1082">
        <v>-2031.7215678928187</v>
      </c>
    </row>
    <row r="1083" spans="1:1" x14ac:dyDescent="0.2">
      <c r="A1083">
        <v>4309.9475837243954</v>
      </c>
    </row>
    <row r="1084" spans="1:1" x14ac:dyDescent="0.2">
      <c r="A1084">
        <v>12560.916782750297</v>
      </c>
    </row>
    <row r="1085" spans="1:1" x14ac:dyDescent="0.2">
      <c r="A1085">
        <v>-5410.7935338890529</v>
      </c>
    </row>
    <row r="1086" spans="1:1" x14ac:dyDescent="0.2">
      <c r="A1086">
        <v>-19576.269839442219</v>
      </c>
    </row>
    <row r="1087" spans="1:1" x14ac:dyDescent="0.2">
      <c r="A1087">
        <v>-5664.6204277445213</v>
      </c>
    </row>
    <row r="1088" spans="1:1" x14ac:dyDescent="0.2">
      <c r="A1088">
        <v>-5278.4473010306247</v>
      </c>
    </row>
    <row r="1089" spans="1:1" x14ac:dyDescent="0.2">
      <c r="A1089">
        <v>13533.777771261171</v>
      </c>
    </row>
    <row r="1090" spans="1:1" x14ac:dyDescent="0.2">
      <c r="A1090">
        <v>5808.9563467437983</v>
      </c>
    </row>
    <row r="1091" spans="1:1" x14ac:dyDescent="0.2">
      <c r="A1091">
        <v>1964.0577129761514</v>
      </c>
    </row>
    <row r="1092" spans="1:1" x14ac:dyDescent="0.2">
      <c r="A1092">
        <v>-2336.7306833652838</v>
      </c>
    </row>
    <row r="1093" spans="1:1" x14ac:dyDescent="0.2">
      <c r="A1093">
        <v>13413.576848753786</v>
      </c>
    </row>
    <row r="1094" spans="1:1" x14ac:dyDescent="0.2">
      <c r="A1094">
        <v>7534.231330806535</v>
      </c>
    </row>
    <row r="1095" spans="1:1" x14ac:dyDescent="0.2">
      <c r="A1095">
        <v>3162.9639947520336</v>
      </c>
    </row>
    <row r="1096" spans="1:1" x14ac:dyDescent="0.2">
      <c r="A1096">
        <v>-7756.0928295819904</v>
      </c>
    </row>
    <row r="1097" spans="1:1" x14ac:dyDescent="0.2">
      <c r="A1097">
        <v>-4140.1240917132236</v>
      </c>
    </row>
    <row r="1098" spans="1:1" x14ac:dyDescent="0.2">
      <c r="A1098">
        <v>11607.709484728868</v>
      </c>
    </row>
    <row r="1099" spans="1:1" x14ac:dyDescent="0.2">
      <c r="A1099">
        <v>5268.86599992431</v>
      </c>
    </row>
    <row r="1100" spans="1:1" x14ac:dyDescent="0.2">
      <c r="A1100">
        <v>15695.254448773223</v>
      </c>
    </row>
    <row r="1101" spans="1:1" x14ac:dyDescent="0.2">
      <c r="A1101">
        <v>-9072.2630913183093</v>
      </c>
    </row>
    <row r="1102" spans="1:1" x14ac:dyDescent="0.2">
      <c r="A1102">
        <v>-14105.668496088183</v>
      </c>
    </row>
    <row r="1103" spans="1:1" x14ac:dyDescent="0.2">
      <c r="A1103">
        <v>15712.078584194212</v>
      </c>
    </row>
    <row r="1104" spans="1:1" x14ac:dyDescent="0.2">
      <c r="A1104">
        <v>13296.626236956392</v>
      </c>
    </row>
    <row r="1105" spans="1:1" x14ac:dyDescent="0.2">
      <c r="A1105">
        <v>1808.1807228138205</v>
      </c>
    </row>
    <row r="1106" spans="1:1" x14ac:dyDescent="0.2">
      <c r="A1106">
        <v>6302.6093903016881</v>
      </c>
    </row>
    <row r="1107" spans="1:1" x14ac:dyDescent="0.2">
      <c r="A1107">
        <v>23010.426622611354</v>
      </c>
    </row>
    <row r="1108" spans="1:1" x14ac:dyDescent="0.2">
      <c r="A1108">
        <v>6697.0077642575488</v>
      </c>
    </row>
    <row r="1109" spans="1:1" x14ac:dyDescent="0.2">
      <c r="A1109">
        <v>8235.0712170430634</v>
      </c>
    </row>
    <row r="1110" spans="1:1" x14ac:dyDescent="0.2">
      <c r="A1110">
        <v>4913.7746318828722</v>
      </c>
    </row>
    <row r="1111" spans="1:1" x14ac:dyDescent="0.2">
      <c r="A1111">
        <v>5605.5859654321102</v>
      </c>
    </row>
    <row r="1112" spans="1:1" x14ac:dyDescent="0.2">
      <c r="A1112">
        <v>-2114.169175372168</v>
      </c>
    </row>
    <row r="1113" spans="1:1" x14ac:dyDescent="0.2">
      <c r="A1113">
        <v>-2104.2752886701201</v>
      </c>
    </row>
    <row r="1114" spans="1:1" x14ac:dyDescent="0.2">
      <c r="A1114">
        <v>2818.7118041268841</v>
      </c>
    </row>
    <row r="1115" spans="1:1" x14ac:dyDescent="0.2">
      <c r="A1115">
        <v>-1436.0629798253649</v>
      </c>
    </row>
    <row r="1116" spans="1:1" x14ac:dyDescent="0.2">
      <c r="A1116">
        <v>2500.4914363634307</v>
      </c>
    </row>
    <row r="1117" spans="1:1" x14ac:dyDescent="0.2">
      <c r="A1117">
        <v>10465.043867607455</v>
      </c>
    </row>
    <row r="1118" spans="1:1" x14ac:dyDescent="0.2">
      <c r="A1118">
        <v>5380.4126315814792</v>
      </c>
    </row>
    <row r="1119" spans="1:1" x14ac:dyDescent="0.2">
      <c r="A1119">
        <v>-9325.2474714041455</v>
      </c>
    </row>
    <row r="1120" spans="1:1" x14ac:dyDescent="0.2">
      <c r="A1120">
        <v>-18462.324295991741</v>
      </c>
    </row>
    <row r="1121" spans="1:1" x14ac:dyDescent="0.2">
      <c r="A1121">
        <v>6535.6799432903354</v>
      </c>
    </row>
    <row r="1122" spans="1:1" x14ac:dyDescent="0.2">
      <c r="A1122">
        <v>700.23548121872591</v>
      </c>
    </row>
    <row r="1123" spans="1:1" x14ac:dyDescent="0.2">
      <c r="A1123">
        <v>-8112.4716217045498</v>
      </c>
    </row>
    <row r="1124" spans="1:1" x14ac:dyDescent="0.2">
      <c r="A1124">
        <v>3033.8050366790267</v>
      </c>
    </row>
    <row r="1125" spans="1:1" x14ac:dyDescent="0.2">
      <c r="A1125">
        <v>-8769.6120848066639</v>
      </c>
    </row>
    <row r="1126" spans="1:1" x14ac:dyDescent="0.2">
      <c r="A1126">
        <v>5462.6585353864939</v>
      </c>
    </row>
    <row r="1127" spans="1:1" x14ac:dyDescent="0.2">
      <c r="A1127">
        <v>-29067.910273512302</v>
      </c>
    </row>
    <row r="1128" spans="1:1" x14ac:dyDescent="0.2">
      <c r="A1128">
        <v>10636.206388262071</v>
      </c>
    </row>
    <row r="1129" spans="1:1" x14ac:dyDescent="0.2">
      <c r="A1129">
        <v>3637.1569122992805</v>
      </c>
    </row>
    <row r="1130" spans="1:1" x14ac:dyDescent="0.2">
      <c r="A1130">
        <v>7622.3276016770105</v>
      </c>
    </row>
    <row r="1131" spans="1:1" x14ac:dyDescent="0.2">
      <c r="A1131">
        <v>-34179.754708236142</v>
      </c>
    </row>
    <row r="1132" spans="1:1" x14ac:dyDescent="0.2">
      <c r="A1132">
        <v>5605.1280158323934</v>
      </c>
    </row>
    <row r="1133" spans="1:1" x14ac:dyDescent="0.2">
      <c r="A1133">
        <v>13786.590772400261</v>
      </c>
    </row>
    <row r="1134" spans="1:1" x14ac:dyDescent="0.2">
      <c r="A1134">
        <v>-1522.2833090109925</v>
      </c>
    </row>
    <row r="1135" spans="1:1" x14ac:dyDescent="0.2">
      <c r="A1135">
        <v>-2480.1105782491504</v>
      </c>
    </row>
    <row r="1136" spans="1:1" x14ac:dyDescent="0.2">
      <c r="A1136">
        <v>5780.3418099260307</v>
      </c>
    </row>
    <row r="1137" spans="1:1" x14ac:dyDescent="0.2">
      <c r="A1137">
        <v>7141.6601711103431</v>
      </c>
    </row>
    <row r="1138" spans="1:1" x14ac:dyDescent="0.2">
      <c r="A1138">
        <v>-6622.5448687658063</v>
      </c>
    </row>
    <row r="1139" spans="1:1" x14ac:dyDescent="0.2">
      <c r="A1139">
        <v>5256.426524040784</v>
      </c>
    </row>
    <row r="1140" spans="1:1" x14ac:dyDescent="0.2">
      <c r="A1140">
        <v>17997.522563257546</v>
      </c>
    </row>
    <row r="1141" spans="1:1" x14ac:dyDescent="0.2">
      <c r="A1141">
        <v>12962.885789790045</v>
      </c>
    </row>
    <row r="1142" spans="1:1" x14ac:dyDescent="0.2">
      <c r="A1142">
        <v>2102.2622663677612</v>
      </c>
    </row>
    <row r="1143" spans="1:1" x14ac:dyDescent="0.2">
      <c r="A1143">
        <v>-11012.872639508161</v>
      </c>
    </row>
    <row r="1144" spans="1:1" x14ac:dyDescent="0.2">
      <c r="A1144">
        <v>12682.463628460013</v>
      </c>
    </row>
    <row r="1145" spans="1:1" x14ac:dyDescent="0.2">
      <c r="A1145">
        <v>12221.860485001118</v>
      </c>
    </row>
    <row r="1146" spans="1:1" x14ac:dyDescent="0.2">
      <c r="A1146">
        <v>24839.802006165963</v>
      </c>
    </row>
    <row r="1147" spans="1:1" x14ac:dyDescent="0.2">
      <c r="A1147">
        <v>1184.7774708456709</v>
      </c>
    </row>
    <row r="1148" spans="1:1" x14ac:dyDescent="0.2">
      <c r="A1148">
        <v>11738.427249292436</v>
      </c>
    </row>
    <row r="1149" spans="1:1" x14ac:dyDescent="0.2">
      <c r="A1149">
        <v>12335.394806299184</v>
      </c>
    </row>
    <row r="1150" spans="1:1" x14ac:dyDescent="0.2">
      <c r="A1150">
        <v>1162.0631792672502</v>
      </c>
    </row>
    <row r="1151" spans="1:1" x14ac:dyDescent="0.2">
      <c r="A1151">
        <v>9025.2022078827722</v>
      </c>
    </row>
    <row r="1152" spans="1:1" x14ac:dyDescent="0.2">
      <c r="A1152">
        <v>10862.415707444481</v>
      </c>
    </row>
    <row r="1153" spans="1:1" x14ac:dyDescent="0.2">
      <c r="A1153">
        <v>12451.321288436331</v>
      </c>
    </row>
    <row r="1154" spans="1:1" x14ac:dyDescent="0.2">
      <c r="A1154">
        <v>-22002.461133454402</v>
      </c>
    </row>
    <row r="1155" spans="1:1" x14ac:dyDescent="0.2">
      <c r="A1155">
        <v>1798.2094851263682</v>
      </c>
    </row>
    <row r="1156" spans="1:1" x14ac:dyDescent="0.2">
      <c r="A1156">
        <v>-8131.7339819846384</v>
      </c>
    </row>
    <row r="1157" spans="1:1" x14ac:dyDescent="0.2">
      <c r="A1157">
        <v>3236.1620839571406</v>
      </c>
    </row>
    <row r="1158" spans="1:1" x14ac:dyDescent="0.2">
      <c r="A1158">
        <v>-7989.2558382390998</v>
      </c>
    </row>
    <row r="1159" spans="1:1" x14ac:dyDescent="0.2">
      <c r="A1159">
        <v>4361.0497353385144</v>
      </c>
    </row>
    <row r="1160" spans="1:1" x14ac:dyDescent="0.2">
      <c r="A1160">
        <v>14759.200950020808</v>
      </c>
    </row>
    <row r="1161" spans="1:1" x14ac:dyDescent="0.2">
      <c r="A1161">
        <v>794.64630781317828</v>
      </c>
    </row>
    <row r="1162" spans="1:1" x14ac:dyDescent="0.2">
      <c r="A1162">
        <v>-12952.476150109607</v>
      </c>
    </row>
    <row r="1163" spans="1:1" x14ac:dyDescent="0.2">
      <c r="A1163">
        <v>6368.8887316939363</v>
      </c>
    </row>
    <row r="1164" spans="1:1" x14ac:dyDescent="0.2">
      <c r="A1164">
        <v>6744.2603895069333</v>
      </c>
    </row>
    <row r="1165" spans="1:1" x14ac:dyDescent="0.2">
      <c r="A1165">
        <v>-7327.0093304564216</v>
      </c>
    </row>
    <row r="1166" spans="1:1" x14ac:dyDescent="0.2">
      <c r="A1166">
        <v>4603.2077251649462</v>
      </c>
    </row>
    <row r="1167" spans="1:1" x14ac:dyDescent="0.2">
      <c r="A1167">
        <v>-1174.2530125005287</v>
      </c>
    </row>
    <row r="1168" spans="1:1" x14ac:dyDescent="0.2">
      <c r="A1168">
        <v>5111.3791614324437</v>
      </c>
    </row>
    <row r="1169" spans="1:1" x14ac:dyDescent="0.2">
      <c r="A1169">
        <v>-6585.8964555275743</v>
      </c>
    </row>
    <row r="1170" spans="1:1" x14ac:dyDescent="0.2">
      <c r="A1170">
        <v>3911.8581914873212</v>
      </c>
    </row>
    <row r="1171" spans="1:1" x14ac:dyDescent="0.2">
      <c r="A1171">
        <v>9530.2407227132644</v>
      </c>
    </row>
    <row r="1172" spans="1:1" x14ac:dyDescent="0.2">
      <c r="A1172">
        <v>-10297.181442934176</v>
      </c>
    </row>
    <row r="1173" spans="1:1" x14ac:dyDescent="0.2">
      <c r="A1173">
        <v>-555.31289239530452</v>
      </c>
    </row>
    <row r="1174" spans="1:1" x14ac:dyDescent="0.2">
      <c r="A1174">
        <v>5947.9402995089768</v>
      </c>
    </row>
    <row r="1175" spans="1:1" x14ac:dyDescent="0.2">
      <c r="A1175">
        <v>7144.7888324238011</v>
      </c>
    </row>
    <row r="1176" spans="1:1" x14ac:dyDescent="0.2">
      <c r="A1176">
        <v>-2299.4650548539648</v>
      </c>
    </row>
    <row r="1177" spans="1:1" x14ac:dyDescent="0.2">
      <c r="A1177">
        <v>-1370.5235842577822</v>
      </c>
    </row>
    <row r="1178" spans="1:1" x14ac:dyDescent="0.2">
      <c r="A1178">
        <v>2391.9246714789479</v>
      </c>
    </row>
    <row r="1179" spans="1:1" x14ac:dyDescent="0.2">
      <c r="A1179">
        <v>6047.8517662343802</v>
      </c>
    </row>
    <row r="1180" spans="1:1" x14ac:dyDescent="0.2">
      <c r="A1180">
        <v>6524.5007604553248</v>
      </c>
    </row>
    <row r="1181" spans="1:1" x14ac:dyDescent="0.2">
      <c r="A1181">
        <v>-9918.1467659410555</v>
      </c>
    </row>
    <row r="1182" spans="1:1" x14ac:dyDescent="0.2">
      <c r="A1182">
        <v>3189.5023924366687</v>
      </c>
    </row>
    <row r="1183" spans="1:1" x14ac:dyDescent="0.2">
      <c r="A1183">
        <v>10173.65135800984</v>
      </c>
    </row>
    <row r="1184" spans="1:1" x14ac:dyDescent="0.2">
      <c r="A1184">
        <v>7646.3353783455386</v>
      </c>
    </row>
    <row r="1185" spans="1:1" x14ac:dyDescent="0.2">
      <c r="A1185">
        <v>7414.6065239514865</v>
      </c>
    </row>
    <row r="1186" spans="1:1" x14ac:dyDescent="0.2">
      <c r="A1186">
        <v>-17528.442018631438</v>
      </c>
    </row>
    <row r="1187" spans="1:1" x14ac:dyDescent="0.2">
      <c r="A1187">
        <v>1152.5456476463005</v>
      </c>
    </row>
    <row r="1188" spans="1:1" x14ac:dyDescent="0.2">
      <c r="A1188">
        <v>-18107.884812562028</v>
      </c>
    </row>
    <row r="1189" spans="1:1" x14ac:dyDescent="0.2">
      <c r="A1189">
        <v>-5091.0560121656745</v>
      </c>
    </row>
    <row r="1190" spans="1:1" x14ac:dyDescent="0.2">
      <c r="A1190">
        <v>15070.567984545487</v>
      </c>
    </row>
    <row r="1191" spans="1:1" x14ac:dyDescent="0.2">
      <c r="A1191">
        <v>15163.72962892006</v>
      </c>
    </row>
    <row r="1192" spans="1:1" x14ac:dyDescent="0.2">
      <c r="A1192">
        <v>3747.9827936648217</v>
      </c>
    </row>
    <row r="1193" spans="1:1" x14ac:dyDescent="0.2">
      <c r="A1193">
        <v>-298.96889073756756</v>
      </c>
    </row>
    <row r="1194" spans="1:1" x14ac:dyDescent="0.2">
      <c r="A1194">
        <v>18774.841092006303</v>
      </c>
    </row>
    <row r="1195" spans="1:1" x14ac:dyDescent="0.2">
      <c r="A1195">
        <v>2283.6481565351132</v>
      </c>
    </row>
    <row r="1196" spans="1:1" x14ac:dyDescent="0.2">
      <c r="A1196">
        <v>-2172.2365334063361</v>
      </c>
    </row>
    <row r="1197" spans="1:1" x14ac:dyDescent="0.2">
      <c r="A1197">
        <v>465.41033580005751</v>
      </c>
    </row>
    <row r="1198" spans="1:1" x14ac:dyDescent="0.2">
      <c r="A1198">
        <v>3603.4256916636368</v>
      </c>
    </row>
    <row r="1199" spans="1:1" x14ac:dyDescent="0.2">
      <c r="A1199">
        <v>-7123.2286165546975</v>
      </c>
    </row>
    <row r="1200" spans="1:1" x14ac:dyDescent="0.2">
      <c r="A1200">
        <v>14735.407955992356</v>
      </c>
    </row>
    <row r="1201" spans="1:1" x14ac:dyDescent="0.2">
      <c r="A1201">
        <v>18677.864792385895</v>
      </c>
    </row>
    <row r="1202" spans="1:1" x14ac:dyDescent="0.2">
      <c r="A1202">
        <v>13309.373375398747</v>
      </c>
    </row>
    <row r="1203" spans="1:1" x14ac:dyDescent="0.2">
      <c r="A1203">
        <v>-13945.533429077885</v>
      </c>
    </row>
    <row r="1204" spans="1:1" x14ac:dyDescent="0.2">
      <c r="A1204">
        <v>-1005.8699081871455</v>
      </c>
    </row>
    <row r="1205" spans="1:1" x14ac:dyDescent="0.2">
      <c r="A1205">
        <v>16528.427298009046</v>
      </c>
    </row>
    <row r="1206" spans="1:1" x14ac:dyDescent="0.2">
      <c r="A1206">
        <v>-7468.0621138353599</v>
      </c>
    </row>
    <row r="1207" spans="1:1" x14ac:dyDescent="0.2">
      <c r="A1207">
        <v>5134.119952293695</v>
      </c>
    </row>
    <row r="1208" spans="1:1" x14ac:dyDescent="0.2">
      <c r="A1208">
        <v>12959.148673353513</v>
      </c>
    </row>
    <row r="1209" spans="1:1" x14ac:dyDescent="0.2">
      <c r="A1209">
        <v>-5288.3163723089092</v>
      </c>
    </row>
    <row r="1210" spans="1:1" x14ac:dyDescent="0.2">
      <c r="A1210">
        <v>6068.0190462924802</v>
      </c>
    </row>
    <row r="1211" spans="1:1" x14ac:dyDescent="0.2">
      <c r="A1211">
        <v>-11756.571435453137</v>
      </c>
    </row>
    <row r="1212" spans="1:1" x14ac:dyDescent="0.2">
      <c r="A1212">
        <v>-4457.7304433900572</v>
      </c>
    </row>
    <row r="1213" spans="1:1" x14ac:dyDescent="0.2">
      <c r="A1213">
        <v>2372.4865244443354</v>
      </c>
    </row>
    <row r="1214" spans="1:1" x14ac:dyDescent="0.2">
      <c r="A1214">
        <v>-5638.1497825254919</v>
      </c>
    </row>
    <row r="1215" spans="1:1" x14ac:dyDescent="0.2">
      <c r="A1215">
        <v>1144.183923358185</v>
      </c>
    </row>
    <row r="1216" spans="1:1" x14ac:dyDescent="0.2">
      <c r="A1216">
        <v>-34358.109483305598</v>
      </c>
    </row>
    <row r="1217" spans="1:1" x14ac:dyDescent="0.2">
      <c r="A1217">
        <v>11761.211213352537</v>
      </c>
    </row>
    <row r="1218" spans="1:1" x14ac:dyDescent="0.2">
      <c r="A1218">
        <v>6428.639605000295</v>
      </c>
    </row>
    <row r="1219" spans="1:1" x14ac:dyDescent="0.2">
      <c r="A1219">
        <v>-22706.660836365423</v>
      </c>
    </row>
    <row r="1220" spans="1:1" x14ac:dyDescent="0.2">
      <c r="A1220">
        <v>-10379.604303779779</v>
      </c>
    </row>
    <row r="1221" spans="1:1" x14ac:dyDescent="0.2">
      <c r="A1221">
        <v>8511.8389648733864</v>
      </c>
    </row>
    <row r="1222" spans="1:1" x14ac:dyDescent="0.2">
      <c r="A1222">
        <v>14481.871565049805</v>
      </c>
    </row>
    <row r="1223" spans="1:1" x14ac:dyDescent="0.2">
      <c r="A1223">
        <v>2303.2802561189746</v>
      </c>
    </row>
    <row r="1224" spans="1:1" x14ac:dyDescent="0.2">
      <c r="A1224">
        <v>7438.7516881135816</v>
      </c>
    </row>
    <row r="1225" spans="1:1" x14ac:dyDescent="0.2">
      <c r="A1225">
        <v>-198.52841982833343</v>
      </c>
    </row>
    <row r="1226" spans="1:1" x14ac:dyDescent="0.2">
      <c r="A1226">
        <v>15427.942720914376</v>
      </c>
    </row>
    <row r="1227" spans="1:1" x14ac:dyDescent="0.2">
      <c r="A1227">
        <v>-7117.513836022641</v>
      </c>
    </row>
    <row r="1228" spans="1:1" x14ac:dyDescent="0.2">
      <c r="A1228">
        <v>18774.66822443952</v>
      </c>
    </row>
    <row r="1229" spans="1:1" x14ac:dyDescent="0.2">
      <c r="A1229">
        <v>-48345.989962051972</v>
      </c>
    </row>
    <row r="1230" spans="1:1" x14ac:dyDescent="0.2">
      <c r="A1230">
        <v>1960.5959043368348</v>
      </c>
    </row>
    <row r="1231" spans="1:1" x14ac:dyDescent="0.2">
      <c r="A1231">
        <v>6015.7349543499877</v>
      </c>
    </row>
    <row r="1232" spans="1:1" x14ac:dyDescent="0.2">
      <c r="A1232">
        <v>13086.864429028181</v>
      </c>
    </row>
    <row r="1233" spans="1:1" x14ac:dyDescent="0.2">
      <c r="A1233">
        <v>13013.47813664464</v>
      </c>
    </row>
    <row r="1234" spans="1:1" x14ac:dyDescent="0.2">
      <c r="A1234">
        <v>478.0605257608695</v>
      </c>
    </row>
    <row r="1235" spans="1:1" x14ac:dyDescent="0.2">
      <c r="A1235">
        <v>-11478.861136730178</v>
      </c>
    </row>
    <row r="1236" spans="1:1" x14ac:dyDescent="0.2">
      <c r="A1236">
        <v>7412.1407967420237</v>
      </c>
    </row>
    <row r="1237" spans="1:1" x14ac:dyDescent="0.2">
      <c r="A1237">
        <v>15377.74873156898</v>
      </c>
    </row>
    <row r="1238" spans="1:1" x14ac:dyDescent="0.2">
      <c r="A1238">
        <v>12363.482882478565</v>
      </c>
    </row>
    <row r="1239" spans="1:1" x14ac:dyDescent="0.2">
      <c r="A1239">
        <v>4161.0488103358366</v>
      </c>
    </row>
    <row r="1240" spans="1:1" x14ac:dyDescent="0.2">
      <c r="A1240">
        <v>3763.5712773773121</v>
      </c>
    </row>
    <row r="1241" spans="1:1" x14ac:dyDescent="0.2">
      <c r="A1241">
        <v>8192.8629347841779</v>
      </c>
    </row>
    <row r="1242" spans="1:1" x14ac:dyDescent="0.2">
      <c r="A1242">
        <v>411.25390719695133</v>
      </c>
    </row>
    <row r="1243" spans="1:1" x14ac:dyDescent="0.2">
      <c r="A1243">
        <v>3320.1570237948326</v>
      </c>
    </row>
    <row r="1244" spans="1:1" x14ac:dyDescent="0.2">
      <c r="A1244">
        <v>968.43915737408679</v>
      </c>
    </row>
    <row r="1245" spans="1:1" x14ac:dyDescent="0.2">
      <c r="A1245">
        <v>-3516.2309194531699</v>
      </c>
    </row>
    <row r="1246" spans="1:1" x14ac:dyDescent="0.2">
      <c r="A1246">
        <v>12520.549740649236</v>
      </c>
    </row>
    <row r="1247" spans="1:1" x14ac:dyDescent="0.2">
      <c r="A1247">
        <v>-2485.4069214065094</v>
      </c>
    </row>
    <row r="1248" spans="1:1" x14ac:dyDescent="0.2">
      <c r="A1248">
        <v>15996.187132734834</v>
      </c>
    </row>
    <row r="1249" spans="1:1" x14ac:dyDescent="0.2">
      <c r="A1249">
        <v>786.493766363943</v>
      </c>
    </row>
    <row r="1250" spans="1:1" x14ac:dyDescent="0.2">
      <c r="A1250">
        <v>6322.9959086116287</v>
      </c>
    </row>
    <row r="1251" spans="1:1" x14ac:dyDescent="0.2">
      <c r="A1251">
        <v>-9961.2565417877049</v>
      </c>
    </row>
    <row r="1252" spans="1:1" x14ac:dyDescent="0.2">
      <c r="A1252">
        <v>1392.3283721198677</v>
      </c>
    </row>
    <row r="1253" spans="1:1" x14ac:dyDescent="0.2">
      <c r="A1253">
        <v>15388.333824005822</v>
      </c>
    </row>
    <row r="1254" spans="1:1" x14ac:dyDescent="0.2">
      <c r="A1254">
        <v>4829.9795963002252</v>
      </c>
    </row>
    <row r="1255" spans="1:1" x14ac:dyDescent="0.2">
      <c r="A1255">
        <v>7795.690357637417</v>
      </c>
    </row>
    <row r="1256" spans="1:1" x14ac:dyDescent="0.2">
      <c r="A1256">
        <v>9820.9577679758077</v>
      </c>
    </row>
    <row r="1257" spans="1:1" x14ac:dyDescent="0.2">
      <c r="A1257">
        <v>1952.4537553534465</v>
      </c>
    </row>
    <row r="1258" spans="1:1" x14ac:dyDescent="0.2">
      <c r="A1258">
        <v>531.93854487937642</v>
      </c>
    </row>
    <row r="1259" spans="1:1" x14ac:dyDescent="0.2">
      <c r="A1259">
        <v>12145.746287628484</v>
      </c>
    </row>
    <row r="1260" spans="1:1" x14ac:dyDescent="0.2">
      <c r="A1260">
        <v>-5095.50962040585</v>
      </c>
    </row>
    <row r="1261" spans="1:1" x14ac:dyDescent="0.2">
      <c r="A1261">
        <v>2642.1169733749412</v>
      </c>
    </row>
    <row r="1262" spans="1:1" x14ac:dyDescent="0.2">
      <c r="A1262">
        <v>-6578.5736584194819</v>
      </c>
    </row>
    <row r="1263" spans="1:1" x14ac:dyDescent="0.2">
      <c r="A1263">
        <v>1798.5830085354974</v>
      </c>
    </row>
    <row r="1264" spans="1:1" x14ac:dyDescent="0.2">
      <c r="A1264">
        <v>10804.166664537159</v>
      </c>
    </row>
    <row r="1265" spans="1:1" x14ac:dyDescent="0.2">
      <c r="A1265">
        <v>9130.3926784051582</v>
      </c>
    </row>
    <row r="1266" spans="1:1" x14ac:dyDescent="0.2">
      <c r="A1266">
        <v>4024.4675320426177</v>
      </c>
    </row>
    <row r="1267" spans="1:1" x14ac:dyDescent="0.2">
      <c r="A1267">
        <v>-1887.7422653667163</v>
      </c>
    </row>
    <row r="1268" spans="1:1" x14ac:dyDescent="0.2">
      <c r="A1268">
        <v>8870.1584380971908</v>
      </c>
    </row>
    <row r="1269" spans="1:1" x14ac:dyDescent="0.2">
      <c r="A1269">
        <v>2726.7225443586067</v>
      </c>
    </row>
    <row r="1270" spans="1:1" x14ac:dyDescent="0.2">
      <c r="A1270">
        <v>-675.37669824197656</v>
      </c>
    </row>
    <row r="1271" spans="1:1" x14ac:dyDescent="0.2">
      <c r="A1271">
        <v>-6837.6436057733954</v>
      </c>
    </row>
    <row r="1272" spans="1:1" x14ac:dyDescent="0.2">
      <c r="A1272">
        <v>-8883.601232436311</v>
      </c>
    </row>
    <row r="1273" spans="1:1" x14ac:dyDescent="0.2">
      <c r="A1273">
        <v>13537.479283978959</v>
      </c>
    </row>
    <row r="1274" spans="1:1" x14ac:dyDescent="0.2">
      <c r="A1274">
        <v>4385.3320440563839</v>
      </c>
    </row>
    <row r="1275" spans="1:1" x14ac:dyDescent="0.2">
      <c r="A1275">
        <v>3977.2601667061681</v>
      </c>
    </row>
    <row r="1276" spans="1:1" x14ac:dyDescent="0.2">
      <c r="A1276">
        <v>3312.2572344227228</v>
      </c>
    </row>
    <row r="1277" spans="1:1" x14ac:dyDescent="0.2">
      <c r="A1277">
        <v>11734.18815604152</v>
      </c>
    </row>
    <row r="1278" spans="1:1" x14ac:dyDescent="0.2">
      <c r="A1278">
        <v>6112.2781733440643</v>
      </c>
    </row>
    <row r="1279" spans="1:1" x14ac:dyDescent="0.2">
      <c r="A1279">
        <v>18003.767927115608</v>
      </c>
    </row>
    <row r="1280" spans="1:1" x14ac:dyDescent="0.2">
      <c r="A1280">
        <v>11393.609877065639</v>
      </c>
    </row>
    <row r="1281" spans="1:1" x14ac:dyDescent="0.2">
      <c r="A1281">
        <v>12620.094010266621</v>
      </c>
    </row>
    <row r="1282" spans="1:1" x14ac:dyDescent="0.2">
      <c r="A1282">
        <v>-9784.5993566367251</v>
      </c>
    </row>
    <row r="1283" spans="1:1" x14ac:dyDescent="0.2">
      <c r="A1283">
        <v>-1496.0600746024284</v>
      </c>
    </row>
    <row r="1284" spans="1:1" x14ac:dyDescent="0.2">
      <c r="A1284">
        <v>19798.861161095236</v>
      </c>
    </row>
    <row r="1285" spans="1:1" x14ac:dyDescent="0.2">
      <c r="A1285">
        <v>7895.4872077768086</v>
      </c>
    </row>
    <row r="1286" spans="1:1" x14ac:dyDescent="0.2">
      <c r="A1286">
        <v>-4624.21435821458</v>
      </c>
    </row>
    <row r="1287" spans="1:1" x14ac:dyDescent="0.2">
      <c r="A1287">
        <v>5856.8093028802541</v>
      </c>
    </row>
    <row r="1288" spans="1:1" x14ac:dyDescent="0.2">
      <c r="A1288">
        <v>-8198.5867407946498</v>
      </c>
    </row>
    <row r="1289" spans="1:1" x14ac:dyDescent="0.2">
      <c r="A1289">
        <v>-6116.4655119439703</v>
      </c>
    </row>
    <row r="1290" spans="1:1" x14ac:dyDescent="0.2">
      <c r="A1290">
        <v>17069.785219124053</v>
      </c>
    </row>
    <row r="1291" spans="1:1" x14ac:dyDescent="0.2">
      <c r="A1291">
        <v>8985.7116656136641</v>
      </c>
    </row>
    <row r="1292" spans="1:1" x14ac:dyDescent="0.2">
      <c r="A1292">
        <v>-1736.004753973597</v>
      </c>
    </row>
    <row r="1293" spans="1:1" x14ac:dyDescent="0.2">
      <c r="A1293">
        <v>10735.496234418155</v>
      </c>
    </row>
    <row r="1294" spans="1:1" x14ac:dyDescent="0.2">
      <c r="A1294">
        <v>1721.8719864677987</v>
      </c>
    </row>
    <row r="1295" spans="1:1" x14ac:dyDescent="0.2">
      <c r="A1295">
        <v>18031.642051945993</v>
      </c>
    </row>
    <row r="1296" spans="1:1" x14ac:dyDescent="0.2">
      <c r="A1296">
        <v>16593.57042335064</v>
      </c>
    </row>
    <row r="1297" spans="1:1" x14ac:dyDescent="0.2">
      <c r="A1297">
        <v>-6359.9443780602887</v>
      </c>
    </row>
    <row r="1298" spans="1:1" x14ac:dyDescent="0.2">
      <c r="A1298">
        <v>6966.3025167749438</v>
      </c>
    </row>
    <row r="1299" spans="1:1" x14ac:dyDescent="0.2">
      <c r="A1299">
        <v>3699.3115420322865</v>
      </c>
    </row>
    <row r="1300" spans="1:1" x14ac:dyDescent="0.2">
      <c r="A1300">
        <v>10131.599480367498</v>
      </c>
    </row>
    <row r="1301" spans="1:1" x14ac:dyDescent="0.2">
      <c r="A1301">
        <v>1957.7963061433402</v>
      </c>
    </row>
    <row r="1302" spans="1:1" x14ac:dyDescent="0.2">
      <c r="A1302">
        <v>-2159.0151734810206</v>
      </c>
    </row>
    <row r="1303" spans="1:1" x14ac:dyDescent="0.2">
      <c r="A1303">
        <v>-12283.723673059838</v>
      </c>
    </row>
    <row r="1304" spans="1:1" x14ac:dyDescent="0.2">
      <c r="A1304">
        <v>-10073.267618208571</v>
      </c>
    </row>
    <row r="1305" spans="1:1" x14ac:dyDescent="0.2">
      <c r="A1305">
        <v>9272.436954074481</v>
      </c>
    </row>
    <row r="1306" spans="1:1" x14ac:dyDescent="0.2">
      <c r="A1306">
        <v>4035.2230176324665</v>
      </c>
    </row>
    <row r="1307" spans="1:1" x14ac:dyDescent="0.2">
      <c r="A1307">
        <v>-3924.4956997327099</v>
      </c>
    </row>
    <row r="1308" spans="1:1" x14ac:dyDescent="0.2">
      <c r="A1308">
        <v>15594.245837446535</v>
      </c>
    </row>
    <row r="1309" spans="1:1" x14ac:dyDescent="0.2">
      <c r="A1309">
        <v>19833.330142250401</v>
      </c>
    </row>
    <row r="1310" spans="1:1" x14ac:dyDescent="0.2">
      <c r="A1310">
        <v>-15011.88869277318</v>
      </c>
    </row>
    <row r="1311" spans="1:1" x14ac:dyDescent="0.2">
      <c r="A1311">
        <v>-5373.5683304535341</v>
      </c>
    </row>
    <row r="1312" spans="1:1" x14ac:dyDescent="0.2">
      <c r="A1312">
        <v>-7365.5021681123471</v>
      </c>
    </row>
    <row r="1313" spans="1:1" x14ac:dyDescent="0.2">
      <c r="A1313">
        <v>9669.6932804081007</v>
      </c>
    </row>
    <row r="1314" spans="1:1" x14ac:dyDescent="0.2">
      <c r="A1314">
        <v>-22190.437103172357</v>
      </c>
    </row>
    <row r="1315" spans="1:1" x14ac:dyDescent="0.2">
      <c r="A1315">
        <v>-13750.998368957662</v>
      </c>
    </row>
    <row r="1316" spans="1:1" x14ac:dyDescent="0.2">
      <c r="A1316">
        <v>11729.135749209468</v>
      </c>
    </row>
    <row r="1317" spans="1:1" x14ac:dyDescent="0.2">
      <c r="A1317">
        <v>-8980.000362177263</v>
      </c>
    </row>
    <row r="1318" spans="1:1" x14ac:dyDescent="0.2">
      <c r="A1318">
        <v>4063.7861310548615</v>
      </c>
    </row>
    <row r="1319" spans="1:1" x14ac:dyDescent="0.2">
      <c r="A1319">
        <v>11545.054348648875</v>
      </c>
    </row>
    <row r="1320" spans="1:1" x14ac:dyDescent="0.2">
      <c r="A1320">
        <v>10235.605780165235</v>
      </c>
    </row>
    <row r="1321" spans="1:1" x14ac:dyDescent="0.2">
      <c r="A1321">
        <v>5466.6136843669519</v>
      </c>
    </row>
    <row r="1322" spans="1:1" x14ac:dyDescent="0.2">
      <c r="A1322">
        <v>4871.0202514070115</v>
      </c>
    </row>
    <row r="1323" spans="1:1" x14ac:dyDescent="0.2">
      <c r="A1323">
        <v>3263.2724128591653</v>
      </c>
    </row>
    <row r="1324" spans="1:1" x14ac:dyDescent="0.2">
      <c r="A1324">
        <v>-3268.1512931400212</v>
      </c>
    </row>
    <row r="1325" spans="1:1" x14ac:dyDescent="0.2">
      <c r="A1325">
        <v>129.05446110438788</v>
      </c>
    </row>
    <row r="1326" spans="1:1" x14ac:dyDescent="0.2">
      <c r="A1326">
        <v>-13013.426731873013</v>
      </c>
    </row>
    <row r="1327" spans="1:1" x14ac:dyDescent="0.2">
      <c r="A1327">
        <v>-14747.083745646756</v>
      </c>
    </row>
    <row r="1328" spans="1:1" x14ac:dyDescent="0.2">
      <c r="A1328">
        <v>14331.871542254405</v>
      </c>
    </row>
    <row r="1329" spans="1:1" x14ac:dyDescent="0.2">
      <c r="A1329">
        <v>-2013.595316375111</v>
      </c>
    </row>
    <row r="1330" spans="1:1" x14ac:dyDescent="0.2">
      <c r="A1330">
        <v>3515.5828822695184</v>
      </c>
    </row>
    <row r="1331" spans="1:1" x14ac:dyDescent="0.2">
      <c r="A1331">
        <v>13659.962441818876</v>
      </c>
    </row>
    <row r="1332" spans="1:1" x14ac:dyDescent="0.2">
      <c r="A1332">
        <v>7656.4607464757573</v>
      </c>
    </row>
    <row r="1333" spans="1:1" x14ac:dyDescent="0.2">
      <c r="A1333">
        <v>-3880.2154756736418</v>
      </c>
    </row>
    <row r="1334" spans="1:1" x14ac:dyDescent="0.2">
      <c r="A1334">
        <v>-11631.57281439699</v>
      </c>
    </row>
    <row r="1335" spans="1:1" x14ac:dyDescent="0.2">
      <c r="A1335">
        <v>7630.8471792383643</v>
      </c>
    </row>
    <row r="1336" spans="1:1" x14ac:dyDescent="0.2">
      <c r="A1336">
        <v>7259.7964146703598</v>
      </c>
    </row>
    <row r="1337" spans="1:1" x14ac:dyDescent="0.2">
      <c r="A1337">
        <v>8949.7703492523869</v>
      </c>
    </row>
    <row r="1338" spans="1:1" x14ac:dyDescent="0.2">
      <c r="A1338">
        <v>-13732.208196627325</v>
      </c>
    </row>
    <row r="1339" spans="1:1" x14ac:dyDescent="0.2">
      <c r="A1339">
        <v>17853.401744829898</v>
      </c>
    </row>
    <row r="1340" spans="1:1" x14ac:dyDescent="0.2">
      <c r="A1340">
        <v>2732.0843365410692</v>
      </c>
    </row>
    <row r="1341" spans="1:1" x14ac:dyDescent="0.2">
      <c r="A1341">
        <v>13399.026311344584</v>
      </c>
    </row>
    <row r="1342" spans="1:1" x14ac:dyDescent="0.2">
      <c r="A1342">
        <v>11277.8489115673</v>
      </c>
    </row>
    <row r="1343" spans="1:1" x14ac:dyDescent="0.2">
      <c r="A1343">
        <v>9464.4273018527601</v>
      </c>
    </row>
    <row r="1344" spans="1:1" x14ac:dyDescent="0.2">
      <c r="A1344">
        <v>729.42005071279709</v>
      </c>
    </row>
    <row r="1345" spans="1:1" x14ac:dyDescent="0.2">
      <c r="A1345">
        <v>1931.6307767798426</v>
      </c>
    </row>
    <row r="1346" spans="1:1" x14ac:dyDescent="0.2">
      <c r="A1346">
        <v>-2002.4356409081374</v>
      </c>
    </row>
    <row r="1347" spans="1:1" x14ac:dyDescent="0.2">
      <c r="A1347">
        <v>7901.5384079698124</v>
      </c>
    </row>
    <row r="1348" spans="1:1" x14ac:dyDescent="0.2">
      <c r="A1348">
        <v>2415.0274927261053</v>
      </c>
    </row>
    <row r="1349" spans="1:1" x14ac:dyDescent="0.2">
      <c r="A1349">
        <v>-1193.9553871202515</v>
      </c>
    </row>
    <row r="1350" spans="1:1" x14ac:dyDescent="0.2">
      <c r="A1350">
        <v>9516.1477997994225</v>
      </c>
    </row>
    <row r="1351" spans="1:1" x14ac:dyDescent="0.2">
      <c r="A1351">
        <v>-3808.7406358911248</v>
      </c>
    </row>
    <row r="1352" spans="1:1" x14ac:dyDescent="0.2">
      <c r="A1352">
        <v>-1908.9501726991148</v>
      </c>
    </row>
    <row r="1353" spans="1:1" x14ac:dyDescent="0.2">
      <c r="A1353">
        <v>-1838.2861492262455</v>
      </c>
    </row>
    <row r="1354" spans="1:1" x14ac:dyDescent="0.2">
      <c r="A1354">
        <v>3179.105333014857</v>
      </c>
    </row>
    <row r="1355" spans="1:1" x14ac:dyDescent="0.2">
      <c r="A1355">
        <v>-12382.54536870186</v>
      </c>
    </row>
    <row r="1356" spans="1:1" x14ac:dyDescent="0.2">
      <c r="A1356">
        <v>761.79209917661501</v>
      </c>
    </row>
    <row r="1357" spans="1:1" x14ac:dyDescent="0.2">
      <c r="A1357">
        <v>-1259.6568817584193</v>
      </c>
    </row>
    <row r="1358" spans="1:1" x14ac:dyDescent="0.2">
      <c r="A1358">
        <v>-9065.7181563633494</v>
      </c>
    </row>
    <row r="1359" spans="1:1" x14ac:dyDescent="0.2">
      <c r="A1359">
        <v>-11907.737350948242</v>
      </c>
    </row>
    <row r="1360" spans="1:1" x14ac:dyDescent="0.2">
      <c r="A1360">
        <v>8307.1110567251453</v>
      </c>
    </row>
    <row r="1361" spans="1:1" x14ac:dyDescent="0.2">
      <c r="A1361">
        <v>-4319.7834904586489</v>
      </c>
    </row>
    <row r="1362" spans="1:1" x14ac:dyDescent="0.2">
      <c r="A1362">
        <v>2119.309107291192</v>
      </c>
    </row>
    <row r="1363" spans="1:1" x14ac:dyDescent="0.2">
      <c r="A1363">
        <v>-943.45426959823817</v>
      </c>
    </row>
    <row r="1364" spans="1:1" x14ac:dyDescent="0.2">
      <c r="A1364">
        <v>-932.83125219261274</v>
      </c>
    </row>
    <row r="1365" spans="1:1" x14ac:dyDescent="0.2">
      <c r="A1365">
        <v>434.81377221900038</v>
      </c>
    </row>
    <row r="1366" spans="1:1" x14ac:dyDescent="0.2">
      <c r="A1366">
        <v>4385.1570906495617</v>
      </c>
    </row>
    <row r="1367" spans="1:1" x14ac:dyDescent="0.2">
      <c r="A1367">
        <v>10020.347428383451</v>
      </c>
    </row>
    <row r="1368" spans="1:1" x14ac:dyDescent="0.2">
      <c r="A1368">
        <v>17004.958397184964</v>
      </c>
    </row>
    <row r="1369" spans="1:1" x14ac:dyDescent="0.2">
      <c r="A1369">
        <v>-3168.0279480794561</v>
      </c>
    </row>
    <row r="1370" spans="1:1" x14ac:dyDescent="0.2">
      <c r="A1370">
        <v>-6572.4669778018142</v>
      </c>
    </row>
    <row r="1371" spans="1:1" x14ac:dyDescent="0.2">
      <c r="A1371">
        <v>6863.1333767621836</v>
      </c>
    </row>
    <row r="1372" spans="1:1" x14ac:dyDescent="0.2">
      <c r="A1372">
        <v>7862.3708631012123</v>
      </c>
    </row>
    <row r="1373" spans="1:1" x14ac:dyDescent="0.2">
      <c r="A1373">
        <v>1858.4817763106548</v>
      </c>
    </row>
    <row r="1374" spans="1:1" x14ac:dyDescent="0.2">
      <c r="A1374">
        <v>2887.8335101620178</v>
      </c>
    </row>
    <row r="1375" spans="1:1" x14ac:dyDescent="0.2">
      <c r="A1375">
        <v>-1496.0132593436865</v>
      </c>
    </row>
    <row r="1376" spans="1:1" x14ac:dyDescent="0.2">
      <c r="A1376">
        <v>-11537.861900325282</v>
      </c>
    </row>
    <row r="1377" spans="1:1" x14ac:dyDescent="0.2">
      <c r="A1377">
        <v>1515.6879016833263</v>
      </c>
    </row>
    <row r="1378" spans="1:1" x14ac:dyDescent="0.2">
      <c r="A1378">
        <v>-12611.22990279278</v>
      </c>
    </row>
    <row r="1379" spans="1:1" x14ac:dyDescent="0.2">
      <c r="A1379">
        <v>15739.527150856578</v>
      </c>
    </row>
    <row r="1380" spans="1:1" x14ac:dyDescent="0.2">
      <c r="A1380">
        <v>2938.1460625169857</v>
      </c>
    </row>
    <row r="1381" spans="1:1" x14ac:dyDescent="0.2">
      <c r="A1381">
        <v>4943.8053028392605</v>
      </c>
    </row>
    <row r="1382" spans="1:1" x14ac:dyDescent="0.2">
      <c r="A1382">
        <v>-3386.4243522481702</v>
      </c>
    </row>
    <row r="1383" spans="1:1" x14ac:dyDescent="0.2">
      <c r="A1383">
        <v>3659.2913291205768</v>
      </c>
    </row>
    <row r="1384" spans="1:1" x14ac:dyDescent="0.2">
      <c r="A1384">
        <v>-16602.327228769369</v>
      </c>
    </row>
    <row r="1385" spans="1:1" x14ac:dyDescent="0.2">
      <c r="A1385">
        <v>12575.920141539711</v>
      </c>
    </row>
    <row r="1386" spans="1:1" x14ac:dyDescent="0.2">
      <c r="A1386">
        <v>-3067.4792301960988</v>
      </c>
    </row>
    <row r="1387" spans="1:1" x14ac:dyDescent="0.2">
      <c r="A1387">
        <v>-7763.6658803101745</v>
      </c>
    </row>
    <row r="1388" spans="1:1" x14ac:dyDescent="0.2">
      <c r="A1388">
        <v>8963.0966049213021</v>
      </c>
    </row>
    <row r="1389" spans="1:1" x14ac:dyDescent="0.2">
      <c r="A1389">
        <v>6031.4640558231622</v>
      </c>
    </row>
    <row r="1390" spans="1:1" x14ac:dyDescent="0.2">
      <c r="A1390">
        <v>15412.527806607162</v>
      </c>
    </row>
    <row r="1391" spans="1:1" x14ac:dyDescent="0.2">
      <c r="A1391">
        <v>11203.578313546808</v>
      </c>
    </row>
    <row r="1392" spans="1:1" x14ac:dyDescent="0.2">
      <c r="A1392">
        <v>1715.4019797463843</v>
      </c>
    </row>
    <row r="1393" spans="1:1" x14ac:dyDescent="0.2">
      <c r="A1393">
        <v>-10301.635995030229</v>
      </c>
    </row>
    <row r="1394" spans="1:1" x14ac:dyDescent="0.2">
      <c r="A1394">
        <v>-20807.368067849486</v>
      </c>
    </row>
    <row r="1395" spans="1:1" x14ac:dyDescent="0.2">
      <c r="A1395">
        <v>-7521.6000517833163</v>
      </c>
    </row>
    <row r="1396" spans="1:1" x14ac:dyDescent="0.2">
      <c r="A1396">
        <v>7259.4699718548072</v>
      </c>
    </row>
    <row r="1397" spans="1:1" x14ac:dyDescent="0.2">
      <c r="A1397">
        <v>5174.9386264249042</v>
      </c>
    </row>
    <row r="1398" spans="1:1" x14ac:dyDescent="0.2">
      <c r="A1398">
        <v>6077.5263486874464</v>
      </c>
    </row>
    <row r="1399" spans="1:1" x14ac:dyDescent="0.2">
      <c r="A1399">
        <v>7585.3579798408609</v>
      </c>
    </row>
    <row r="1400" spans="1:1" x14ac:dyDescent="0.2">
      <c r="A1400">
        <v>-768.59622076887172</v>
      </c>
    </row>
    <row r="1401" spans="1:1" x14ac:dyDescent="0.2">
      <c r="A1401">
        <v>10272.131572070532</v>
      </c>
    </row>
    <row r="1402" spans="1:1" x14ac:dyDescent="0.2">
      <c r="A1402">
        <v>-780.60264829706284</v>
      </c>
    </row>
    <row r="1403" spans="1:1" x14ac:dyDescent="0.2">
      <c r="A1403">
        <v>-5798.9809271683043</v>
      </c>
    </row>
    <row r="1404" spans="1:1" x14ac:dyDescent="0.2">
      <c r="A1404">
        <v>-17849.734692390077</v>
      </c>
    </row>
    <row r="1405" spans="1:1" x14ac:dyDescent="0.2">
      <c r="A1405">
        <v>-14494.718568028067</v>
      </c>
    </row>
    <row r="1406" spans="1:1" x14ac:dyDescent="0.2">
      <c r="A1406">
        <v>-5088.0215626911959</v>
      </c>
    </row>
    <row r="1407" spans="1:1" x14ac:dyDescent="0.2">
      <c r="A1407">
        <v>9310.5897565689811</v>
      </c>
    </row>
    <row r="1408" spans="1:1" x14ac:dyDescent="0.2">
      <c r="A1408">
        <v>7815.0645706990617</v>
      </c>
    </row>
    <row r="1409" spans="1:1" x14ac:dyDescent="0.2">
      <c r="A1409">
        <v>6110.9146466356469</v>
      </c>
    </row>
    <row r="1410" spans="1:1" x14ac:dyDescent="0.2">
      <c r="A1410">
        <v>4095.2494640810473</v>
      </c>
    </row>
    <row r="1411" spans="1:1" x14ac:dyDescent="0.2">
      <c r="A1411">
        <v>1631.8378653128166</v>
      </c>
    </row>
    <row r="1412" spans="1:1" x14ac:dyDescent="0.2">
      <c r="A1412">
        <v>-1477.2922303628875</v>
      </c>
    </row>
    <row r="1413" spans="1:1" x14ac:dyDescent="0.2">
      <c r="A1413">
        <v>-13070.190943697526</v>
      </c>
    </row>
    <row r="1414" spans="1:1" x14ac:dyDescent="0.2">
      <c r="A1414">
        <v>3874.5921335760795</v>
      </c>
    </row>
    <row r="1415" spans="1:1" x14ac:dyDescent="0.2">
      <c r="A1415">
        <v>11317.055789081031</v>
      </c>
    </row>
    <row r="1416" spans="1:1" x14ac:dyDescent="0.2">
      <c r="A1416">
        <v>-3797.5775195546157</v>
      </c>
    </row>
    <row r="1417" spans="1:1" x14ac:dyDescent="0.2">
      <c r="A1417">
        <v>2633.7875518776709</v>
      </c>
    </row>
    <row r="1418" spans="1:1" x14ac:dyDescent="0.2">
      <c r="A1418">
        <v>-4313.0818086161744</v>
      </c>
    </row>
    <row r="1419" spans="1:1" x14ac:dyDescent="0.2">
      <c r="A1419">
        <v>-11728.548854286608</v>
      </c>
    </row>
    <row r="1420" spans="1:1" x14ac:dyDescent="0.2">
      <c r="A1420">
        <v>-15711.973888696055</v>
      </c>
    </row>
    <row r="1421" spans="1:1" x14ac:dyDescent="0.2">
      <c r="A1421">
        <v>6188.5839958106226</v>
      </c>
    </row>
    <row r="1422" spans="1:1" x14ac:dyDescent="0.2">
      <c r="A1422">
        <v>15287.530626409163</v>
      </c>
    </row>
    <row r="1423" spans="1:1" x14ac:dyDescent="0.2">
      <c r="A1423">
        <v>-21930.024649856496</v>
      </c>
    </row>
    <row r="1424" spans="1:1" x14ac:dyDescent="0.2">
      <c r="A1424">
        <v>13247.122448901035</v>
      </c>
    </row>
    <row r="1425" spans="1:1" x14ac:dyDescent="0.2">
      <c r="A1425">
        <v>-1263.2984662797535</v>
      </c>
    </row>
    <row r="1426" spans="1:1" x14ac:dyDescent="0.2">
      <c r="A1426">
        <v>5483.9603209793568</v>
      </c>
    </row>
    <row r="1427" spans="1:1" x14ac:dyDescent="0.2">
      <c r="A1427">
        <v>16775.391677252803</v>
      </c>
    </row>
    <row r="1428" spans="1:1" x14ac:dyDescent="0.2">
      <c r="A1428">
        <v>-9999.6214464984951</v>
      </c>
    </row>
    <row r="1429" spans="1:1" x14ac:dyDescent="0.2">
      <c r="A1429">
        <v>3740.5599914735067</v>
      </c>
    </row>
    <row r="1430" spans="1:1" x14ac:dyDescent="0.2">
      <c r="A1430">
        <v>-9105.2175626726239</v>
      </c>
    </row>
    <row r="1431" spans="1:1" x14ac:dyDescent="0.2">
      <c r="A1431">
        <v>-1681.6607211016526</v>
      </c>
    </row>
    <row r="1432" spans="1:1" x14ac:dyDescent="0.2">
      <c r="A1432">
        <v>-2818.5944392904057</v>
      </c>
    </row>
    <row r="1433" spans="1:1" x14ac:dyDescent="0.2">
      <c r="A1433">
        <v>-17328.992604008119</v>
      </c>
    </row>
    <row r="1434" spans="1:1" x14ac:dyDescent="0.2">
      <c r="A1434">
        <v>20272.441048267036</v>
      </c>
    </row>
    <row r="1435" spans="1:1" x14ac:dyDescent="0.2">
      <c r="A1435">
        <v>-9290.23112321386</v>
      </c>
    </row>
    <row r="1436" spans="1:1" x14ac:dyDescent="0.2">
      <c r="A1436">
        <v>1585.3200657625857</v>
      </c>
    </row>
    <row r="1437" spans="1:1" x14ac:dyDescent="0.2">
      <c r="A1437">
        <v>1739.0244221712928</v>
      </c>
    </row>
    <row r="1438" spans="1:1" x14ac:dyDescent="0.2">
      <c r="A1438">
        <v>4801.9401970909967</v>
      </c>
    </row>
    <row r="1439" spans="1:1" x14ac:dyDescent="0.2">
      <c r="A1439">
        <v>-3597.5419166471693</v>
      </c>
    </row>
    <row r="1440" spans="1:1" x14ac:dyDescent="0.2">
      <c r="A1440">
        <v>10402.424396372924</v>
      </c>
    </row>
    <row r="1441" spans="1:1" x14ac:dyDescent="0.2">
      <c r="A1441">
        <v>14111.809503946482</v>
      </c>
    </row>
    <row r="1442" spans="1:1" x14ac:dyDescent="0.2">
      <c r="A1442">
        <v>3833.5053973533795</v>
      </c>
    </row>
    <row r="1443" spans="1:1" x14ac:dyDescent="0.2">
      <c r="A1443">
        <v>-3593.6559263587696</v>
      </c>
    </row>
    <row r="1444" spans="1:1" x14ac:dyDescent="0.2">
      <c r="A1444">
        <v>1461.0884693332482</v>
      </c>
    </row>
    <row r="1445" spans="1:1" x14ac:dyDescent="0.2">
      <c r="A1445">
        <v>19287.002137253701</v>
      </c>
    </row>
    <row r="1446" spans="1:1" x14ac:dyDescent="0.2">
      <c r="A1446">
        <v>12477.777848593279</v>
      </c>
    </row>
    <row r="1447" spans="1:1" x14ac:dyDescent="0.2">
      <c r="A1447">
        <v>641.22595925346832</v>
      </c>
    </row>
    <row r="1448" spans="1:1" x14ac:dyDescent="0.2">
      <c r="A1448">
        <v>3232.5983048696362</v>
      </c>
    </row>
    <row r="1449" spans="1:1" x14ac:dyDescent="0.2">
      <c r="A1449">
        <v>-5839.643995859311</v>
      </c>
    </row>
    <row r="1450" spans="1:1" x14ac:dyDescent="0.2">
      <c r="A1450">
        <v>16415.069171602547</v>
      </c>
    </row>
    <row r="1451" spans="1:1" x14ac:dyDescent="0.2">
      <c r="A1451">
        <v>-5440.0663705249608</v>
      </c>
    </row>
    <row r="1452" spans="1:1" x14ac:dyDescent="0.2">
      <c r="A1452">
        <v>-4516.8374301873846</v>
      </c>
    </row>
    <row r="1453" spans="1:1" x14ac:dyDescent="0.2">
      <c r="A1453">
        <v>1717.0633623891626</v>
      </c>
    </row>
    <row r="1454" spans="1:1" x14ac:dyDescent="0.2">
      <c r="A1454">
        <v>-6967.9003460796666</v>
      </c>
    </row>
    <row r="1455" spans="1:1" x14ac:dyDescent="0.2">
      <c r="A1455">
        <v>3485.403531444259</v>
      </c>
    </row>
    <row r="1456" spans="1:1" x14ac:dyDescent="0.2">
      <c r="A1456">
        <v>-23870.615497978288</v>
      </c>
    </row>
    <row r="1457" spans="1:1" x14ac:dyDescent="0.2">
      <c r="A1457">
        <v>1655.1359382868395</v>
      </c>
    </row>
    <row r="1458" spans="1:1" x14ac:dyDescent="0.2">
      <c r="A1458">
        <v>-4056.8171076403814</v>
      </c>
    </row>
    <row r="1459" spans="1:1" x14ac:dyDescent="0.2">
      <c r="A1459">
        <v>-4151.6800515223586</v>
      </c>
    </row>
    <row r="1460" spans="1:1" x14ac:dyDescent="0.2">
      <c r="A1460">
        <v>10712.086979393323</v>
      </c>
    </row>
    <row r="1461" spans="1:1" x14ac:dyDescent="0.2">
      <c r="A1461">
        <v>10566.336643479037</v>
      </c>
    </row>
    <row r="1462" spans="1:1" x14ac:dyDescent="0.2">
      <c r="A1462">
        <v>23464.741803574085</v>
      </c>
    </row>
    <row r="1463" spans="1:1" x14ac:dyDescent="0.2">
      <c r="A1463">
        <v>12004.471397993679</v>
      </c>
    </row>
    <row r="1464" spans="1:1" x14ac:dyDescent="0.2">
      <c r="A1464">
        <v>-206.74710677791154</v>
      </c>
    </row>
    <row r="1465" spans="1:1" x14ac:dyDescent="0.2">
      <c r="A1465">
        <v>6919.5820276587619</v>
      </c>
    </row>
    <row r="1466" spans="1:1" x14ac:dyDescent="0.2">
      <c r="A1466">
        <v>4464.7464630307222</v>
      </c>
    </row>
    <row r="1467" spans="1:1" x14ac:dyDescent="0.2">
      <c r="A1467">
        <v>-1332.2775550078368</v>
      </c>
    </row>
    <row r="1468" spans="1:1" x14ac:dyDescent="0.2">
      <c r="A1468">
        <v>-2234.4100038060569</v>
      </c>
    </row>
    <row r="1469" spans="1:1" x14ac:dyDescent="0.2">
      <c r="A1469">
        <v>-8325.8715647574281</v>
      </c>
    </row>
    <row r="1470" spans="1:1" x14ac:dyDescent="0.2">
      <c r="A1470">
        <v>-5022.4329861685692</v>
      </c>
    </row>
    <row r="1471" spans="1:1" x14ac:dyDescent="0.2">
      <c r="A1471">
        <v>11629.442769362591</v>
      </c>
    </row>
    <row r="1472" spans="1:1" x14ac:dyDescent="0.2">
      <c r="A1472">
        <v>-10225.381076807971</v>
      </c>
    </row>
    <row r="1473" spans="1:1" x14ac:dyDescent="0.2">
      <c r="A1473">
        <v>-606.74473492486868</v>
      </c>
    </row>
    <row r="1474" spans="1:1" x14ac:dyDescent="0.2">
      <c r="A1474">
        <v>835.5210546902963</v>
      </c>
    </row>
    <row r="1475" spans="1:1" x14ac:dyDescent="0.2">
      <c r="A1475">
        <v>7961.0843395279953</v>
      </c>
    </row>
    <row r="1476" spans="1:1" x14ac:dyDescent="0.2">
      <c r="A1476">
        <v>4117.5528256886173</v>
      </c>
    </row>
    <row r="1477" spans="1:1" x14ac:dyDescent="0.2">
      <c r="A1477">
        <v>6582.2186702985782</v>
      </c>
    </row>
    <row r="1478" spans="1:1" x14ac:dyDescent="0.2">
      <c r="A1478">
        <v>-1305.375899337203</v>
      </c>
    </row>
    <row r="1479" spans="1:1" x14ac:dyDescent="0.2">
      <c r="A1479">
        <v>4848.0414195857011</v>
      </c>
    </row>
    <row r="1480" spans="1:1" x14ac:dyDescent="0.2">
      <c r="A1480">
        <v>5728.8334453904536</v>
      </c>
    </row>
    <row r="1481" spans="1:1" x14ac:dyDescent="0.2">
      <c r="A1481">
        <v>9975.1386024255189</v>
      </c>
    </row>
    <row r="1482" spans="1:1" x14ac:dyDescent="0.2">
      <c r="A1482">
        <v>-9757.7717909413623</v>
      </c>
    </row>
    <row r="1483" spans="1:1" x14ac:dyDescent="0.2">
      <c r="A1483">
        <v>14388.55333415544</v>
      </c>
    </row>
    <row r="1484" spans="1:1" x14ac:dyDescent="0.2">
      <c r="A1484">
        <v>8748.699673117284</v>
      </c>
    </row>
    <row r="1485" spans="1:1" x14ac:dyDescent="0.2">
      <c r="A1485">
        <v>19062.337156975787</v>
      </c>
    </row>
    <row r="1486" spans="1:1" x14ac:dyDescent="0.2">
      <c r="A1486">
        <v>13984.794782351848</v>
      </c>
    </row>
    <row r="1487" spans="1:1" x14ac:dyDescent="0.2">
      <c r="A1487">
        <v>7642.3550512893707</v>
      </c>
    </row>
    <row r="1488" spans="1:1" x14ac:dyDescent="0.2">
      <c r="A1488">
        <v>1995.7859309077321</v>
      </c>
    </row>
    <row r="1489" spans="1:1" x14ac:dyDescent="0.2">
      <c r="A1489">
        <v>3107.3156735979719</v>
      </c>
    </row>
    <row r="1490" spans="1:1" x14ac:dyDescent="0.2">
      <c r="A1490">
        <v>-9734.9303605813766</v>
      </c>
    </row>
    <row r="1491" spans="1:1" x14ac:dyDescent="0.2">
      <c r="A1491">
        <v>-7767.1004954104719</v>
      </c>
    </row>
    <row r="1492" spans="1:1" x14ac:dyDescent="0.2">
      <c r="A1492">
        <v>12176.145233958843</v>
      </c>
    </row>
    <row r="1493" spans="1:1" x14ac:dyDescent="0.2">
      <c r="A1493">
        <v>2288.4379847215605</v>
      </c>
    </row>
    <row r="1494" spans="1:1" x14ac:dyDescent="0.2">
      <c r="A1494">
        <v>45245.139432011754</v>
      </c>
    </row>
    <row r="1495" spans="1:1" x14ac:dyDescent="0.2">
      <c r="A1495">
        <v>26095.322882960318</v>
      </c>
    </row>
    <row r="1496" spans="1:1" x14ac:dyDescent="0.2">
      <c r="A1496">
        <v>20005.336845850805</v>
      </c>
    </row>
    <row r="1497" spans="1:1" x14ac:dyDescent="0.2">
      <c r="A1497">
        <v>9263.0706611612113</v>
      </c>
    </row>
    <row r="1498" spans="1:1" x14ac:dyDescent="0.2">
      <c r="A1498">
        <v>4394.2307800683193</v>
      </c>
    </row>
    <row r="1499" spans="1:1" x14ac:dyDescent="0.2">
      <c r="A1499">
        <v>6271.9221512149088</v>
      </c>
    </row>
    <row r="1500" spans="1:1" x14ac:dyDescent="0.2">
      <c r="A1500">
        <v>3600.9763214515988</v>
      </c>
    </row>
    <row r="1501" spans="1:1" x14ac:dyDescent="0.2">
      <c r="A1501">
        <v>3299.6938054739148</v>
      </c>
    </row>
    <row r="1502" spans="1:1" x14ac:dyDescent="0.2">
      <c r="A1502">
        <v>2948.4290000653709</v>
      </c>
    </row>
    <row r="1503" spans="1:1" x14ac:dyDescent="0.2">
      <c r="A1503">
        <v>-1755.6021495753666</v>
      </c>
    </row>
    <row r="1504" spans="1:1" x14ac:dyDescent="0.2">
      <c r="A1504">
        <v>-584.92398844013223</v>
      </c>
    </row>
    <row r="1505" spans="1:1" x14ac:dyDescent="0.2">
      <c r="A1505">
        <v>3513.0476252464287</v>
      </c>
    </row>
    <row r="1506" spans="1:1" x14ac:dyDescent="0.2">
      <c r="A1506">
        <v>1412.9186150892638</v>
      </c>
    </row>
    <row r="1507" spans="1:1" x14ac:dyDescent="0.2">
      <c r="A1507">
        <v>-7456.5496171619743</v>
      </c>
    </row>
    <row r="1508" spans="1:1" x14ac:dyDescent="0.2">
      <c r="A1508">
        <v>-1629.7035966848198</v>
      </c>
    </row>
    <row r="1509" spans="1:1" x14ac:dyDescent="0.2">
      <c r="A1509">
        <v>9818.4338972905534</v>
      </c>
    </row>
    <row r="1510" spans="1:1" x14ac:dyDescent="0.2">
      <c r="A1510">
        <v>9274.769370995753</v>
      </c>
    </row>
    <row r="1511" spans="1:1" x14ac:dyDescent="0.2">
      <c r="A1511">
        <v>-10375.305970052374</v>
      </c>
    </row>
    <row r="1512" spans="1:1" x14ac:dyDescent="0.2">
      <c r="A1512">
        <v>10141.468076373945</v>
      </c>
    </row>
    <row r="1513" spans="1:1" x14ac:dyDescent="0.2">
      <c r="A1513">
        <v>-5110.0943853750941</v>
      </c>
    </row>
    <row r="1514" spans="1:1" x14ac:dyDescent="0.2">
      <c r="A1514">
        <v>-9543.2341965918895</v>
      </c>
    </row>
    <row r="1515" spans="1:1" x14ac:dyDescent="0.2">
      <c r="A1515">
        <v>-11157.813092132827</v>
      </c>
    </row>
    <row r="1516" spans="1:1" x14ac:dyDescent="0.2">
      <c r="A1516">
        <v>-18955.719165749964</v>
      </c>
    </row>
    <row r="1517" spans="1:1" x14ac:dyDescent="0.2">
      <c r="A1517">
        <v>14354.344906295504</v>
      </c>
    </row>
    <row r="1518" spans="1:1" x14ac:dyDescent="0.2">
      <c r="A1518">
        <v>-21266.842229260074</v>
      </c>
    </row>
    <row r="1519" spans="1:1" x14ac:dyDescent="0.2">
      <c r="A1519">
        <v>7656.2637855102948</v>
      </c>
    </row>
    <row r="1520" spans="1:1" x14ac:dyDescent="0.2">
      <c r="A1520">
        <v>-10647.750522155809</v>
      </c>
    </row>
    <row r="1521" spans="1:1" x14ac:dyDescent="0.2">
      <c r="A1521">
        <v>-3873.9304492483498</v>
      </c>
    </row>
    <row r="1522" spans="1:1" x14ac:dyDescent="0.2">
      <c r="A1522">
        <v>-20390.301746888086</v>
      </c>
    </row>
    <row r="1523" spans="1:1" x14ac:dyDescent="0.2">
      <c r="A1523">
        <v>-13517.357605958125</v>
      </c>
    </row>
    <row r="1524" spans="1:1" x14ac:dyDescent="0.2">
      <c r="A1524">
        <v>-23632.508550658764</v>
      </c>
    </row>
    <row r="1525" spans="1:1" x14ac:dyDescent="0.2">
      <c r="A1525">
        <v>-12928.71440508269</v>
      </c>
    </row>
    <row r="1526" spans="1:1" x14ac:dyDescent="0.2">
      <c r="A1526">
        <v>11350.171498532844</v>
      </c>
    </row>
    <row r="1527" spans="1:1" x14ac:dyDescent="0.2">
      <c r="A1527">
        <v>12346.454066605278</v>
      </c>
    </row>
    <row r="1528" spans="1:1" x14ac:dyDescent="0.2">
      <c r="A1528">
        <v>6500.4830705047352</v>
      </c>
    </row>
    <row r="1529" spans="1:1" x14ac:dyDescent="0.2">
      <c r="A1529">
        <v>1525.5379614725825</v>
      </c>
    </row>
    <row r="1530" spans="1:1" x14ac:dyDescent="0.2">
      <c r="A1530">
        <v>9314.5449388599955</v>
      </c>
    </row>
    <row r="1531" spans="1:1" x14ac:dyDescent="0.2">
      <c r="A1531">
        <v>-8604.0433705620817</v>
      </c>
    </row>
    <row r="1532" spans="1:1" x14ac:dyDescent="0.2">
      <c r="A1532">
        <v>10228.119843737164</v>
      </c>
    </row>
    <row r="1533" spans="1:1" x14ac:dyDescent="0.2">
      <c r="A1533">
        <v>1711.1543584887695</v>
      </c>
    </row>
    <row r="1534" spans="1:1" x14ac:dyDescent="0.2">
      <c r="A1534">
        <v>6559.8083859993785</v>
      </c>
    </row>
    <row r="1535" spans="1:1" x14ac:dyDescent="0.2">
      <c r="A1535">
        <v>5181.5642833166348</v>
      </c>
    </row>
    <row r="1536" spans="1:1" x14ac:dyDescent="0.2">
      <c r="A1536">
        <v>5056.7998357715842</v>
      </c>
    </row>
    <row r="1537" spans="1:1" x14ac:dyDescent="0.2">
      <c r="A1537">
        <v>-4228.7214936189121</v>
      </c>
    </row>
    <row r="1538" spans="1:1" x14ac:dyDescent="0.2">
      <c r="A1538">
        <v>11462.226406921778</v>
      </c>
    </row>
    <row r="1539" spans="1:1" x14ac:dyDescent="0.2">
      <c r="A1539">
        <v>-12990.26602311118</v>
      </c>
    </row>
    <row r="1540" spans="1:1" x14ac:dyDescent="0.2">
      <c r="A1540">
        <v>29893.542605342649</v>
      </c>
    </row>
    <row r="1541" spans="1:1" x14ac:dyDescent="0.2">
      <c r="A1541">
        <v>4055.2065514672431</v>
      </c>
    </row>
    <row r="1542" spans="1:1" x14ac:dyDescent="0.2">
      <c r="A1542">
        <v>7212.7368317599467</v>
      </c>
    </row>
    <row r="1543" spans="1:1" x14ac:dyDescent="0.2">
      <c r="A1543">
        <v>8414.0291108784149</v>
      </c>
    </row>
    <row r="1544" spans="1:1" x14ac:dyDescent="0.2">
      <c r="A1544">
        <v>18874.950403607509</v>
      </c>
    </row>
    <row r="1545" spans="1:1" x14ac:dyDescent="0.2">
      <c r="A1545">
        <v>-663.05571147316368</v>
      </c>
    </row>
    <row r="1546" spans="1:1" x14ac:dyDescent="0.2">
      <c r="A1546">
        <v>16975.077298096061</v>
      </c>
    </row>
    <row r="1547" spans="1:1" x14ac:dyDescent="0.2">
      <c r="A1547">
        <v>4279.0493364466238</v>
      </c>
    </row>
    <row r="1548" spans="1:1" x14ac:dyDescent="0.2">
      <c r="A1548">
        <v>817.38889487742563</v>
      </c>
    </row>
    <row r="1549" spans="1:1" x14ac:dyDescent="0.2">
      <c r="A1549">
        <v>-5571.7117187568801</v>
      </c>
    </row>
    <row r="1550" spans="1:1" x14ac:dyDescent="0.2">
      <c r="A1550">
        <v>-5653.7399898440053</v>
      </c>
    </row>
    <row r="1551" spans="1:1" x14ac:dyDescent="0.2">
      <c r="A1551">
        <v>5619.0938514382578</v>
      </c>
    </row>
    <row r="1552" spans="1:1" x14ac:dyDescent="0.2">
      <c r="A1552">
        <v>10290.949964265979</v>
      </c>
    </row>
    <row r="1553" spans="1:1" x14ac:dyDescent="0.2">
      <c r="A1553">
        <v>7784.0231731772656</v>
      </c>
    </row>
    <row r="1554" spans="1:1" x14ac:dyDescent="0.2">
      <c r="A1554">
        <v>14634.978984702495</v>
      </c>
    </row>
    <row r="1555" spans="1:1" x14ac:dyDescent="0.2">
      <c r="A1555">
        <v>21.367507799848681</v>
      </c>
    </row>
    <row r="1556" spans="1:1" x14ac:dyDescent="0.2">
      <c r="A1556">
        <v>-10013.92538004159</v>
      </c>
    </row>
    <row r="1557" spans="1:1" x14ac:dyDescent="0.2">
      <c r="A1557">
        <v>11472.592202406115</v>
      </c>
    </row>
    <row r="1558" spans="1:1" x14ac:dyDescent="0.2">
      <c r="A1558">
        <v>-21995.316308577952</v>
      </c>
    </row>
    <row r="1559" spans="1:1" x14ac:dyDescent="0.2">
      <c r="A1559">
        <v>-716.3598426610406</v>
      </c>
    </row>
    <row r="1560" spans="1:1" x14ac:dyDescent="0.2">
      <c r="A1560">
        <v>-18698.326194780355</v>
      </c>
    </row>
    <row r="1561" spans="1:1" x14ac:dyDescent="0.2">
      <c r="A1561">
        <v>-4163.2344879416632</v>
      </c>
    </row>
    <row r="1562" spans="1:1" x14ac:dyDescent="0.2">
      <c r="A1562">
        <v>-8685.1945014171069</v>
      </c>
    </row>
    <row r="1563" spans="1:1" x14ac:dyDescent="0.2">
      <c r="A1563">
        <v>7689.528399964096</v>
      </c>
    </row>
    <row r="1564" spans="1:1" x14ac:dyDescent="0.2">
      <c r="A1564">
        <v>-1779.2123039306607</v>
      </c>
    </row>
    <row r="1565" spans="1:1" x14ac:dyDescent="0.2">
      <c r="A1565">
        <v>-10910.047023301566</v>
      </c>
    </row>
    <row r="1566" spans="1:1" x14ac:dyDescent="0.2">
      <c r="A1566">
        <v>9285.2739883002359</v>
      </c>
    </row>
    <row r="1567" spans="1:1" x14ac:dyDescent="0.2">
      <c r="A1567">
        <v>1198.2631367602735</v>
      </c>
    </row>
    <row r="1568" spans="1:1" x14ac:dyDescent="0.2">
      <c r="A1568">
        <v>5157.8136648904765</v>
      </c>
    </row>
    <row r="1569" spans="1:1" x14ac:dyDescent="0.2">
      <c r="A1569">
        <v>-9637.591839352739</v>
      </c>
    </row>
    <row r="1570" spans="1:1" x14ac:dyDescent="0.2">
      <c r="A1570">
        <v>3646.812969469378</v>
      </c>
    </row>
    <row r="1571" spans="1:1" x14ac:dyDescent="0.2">
      <c r="A1571">
        <v>12088.657669878856</v>
      </c>
    </row>
    <row r="1572" spans="1:1" x14ac:dyDescent="0.2">
      <c r="A1572">
        <v>-14290.531580370269</v>
      </c>
    </row>
    <row r="1573" spans="1:1" x14ac:dyDescent="0.2">
      <c r="A1573">
        <v>-22023.020159876498</v>
      </c>
    </row>
    <row r="1574" spans="1:1" x14ac:dyDescent="0.2">
      <c r="A1574">
        <v>9028.9634983213327</v>
      </c>
    </row>
    <row r="1575" spans="1:1" x14ac:dyDescent="0.2">
      <c r="A1575">
        <v>9703.9098618896969</v>
      </c>
    </row>
    <row r="1576" spans="1:1" x14ac:dyDescent="0.2">
      <c r="A1576">
        <v>21189.721707949881</v>
      </c>
    </row>
    <row r="1577" spans="1:1" x14ac:dyDescent="0.2">
      <c r="A1577">
        <v>-8441.9126975217951</v>
      </c>
    </row>
    <row r="1578" spans="1:1" x14ac:dyDescent="0.2">
      <c r="A1578">
        <v>-8579.9262715016957</v>
      </c>
    </row>
    <row r="1579" spans="1:1" x14ac:dyDescent="0.2">
      <c r="A1579">
        <v>584.53713542621699</v>
      </c>
    </row>
    <row r="1580" spans="1:1" x14ac:dyDescent="0.2">
      <c r="A1580">
        <v>2520.0414137335028</v>
      </c>
    </row>
    <row r="1581" spans="1:1" x14ac:dyDescent="0.2">
      <c r="A1581">
        <v>-26685.980895103829</v>
      </c>
    </row>
    <row r="1582" spans="1:1" x14ac:dyDescent="0.2">
      <c r="A1582">
        <v>3121.7076750409906</v>
      </c>
    </row>
    <row r="1583" spans="1:1" x14ac:dyDescent="0.2">
      <c r="A1583">
        <v>-26646.692515988892</v>
      </c>
    </row>
    <row r="1584" spans="1:1" x14ac:dyDescent="0.2">
      <c r="A1584">
        <v>-6227.2231561027002</v>
      </c>
    </row>
    <row r="1585" spans="1:1" x14ac:dyDescent="0.2">
      <c r="A1585">
        <v>8919.5762819576776</v>
      </c>
    </row>
    <row r="1586" spans="1:1" x14ac:dyDescent="0.2">
      <c r="A1586">
        <v>10097.757733954611</v>
      </c>
    </row>
    <row r="1587" spans="1:1" x14ac:dyDescent="0.2">
      <c r="A1587">
        <v>-3564.3569336393848</v>
      </c>
    </row>
    <row r="1588" spans="1:1" x14ac:dyDescent="0.2">
      <c r="A1588">
        <v>-14468.258133587457</v>
      </c>
    </row>
    <row r="1589" spans="1:1" x14ac:dyDescent="0.2">
      <c r="A1589">
        <v>10090.854404103244</v>
      </c>
    </row>
    <row r="1590" spans="1:1" x14ac:dyDescent="0.2">
      <c r="A1590">
        <v>11322.523861054156</v>
      </c>
    </row>
    <row r="1591" spans="1:1" x14ac:dyDescent="0.2">
      <c r="A1591">
        <v>-10350.84841515671</v>
      </c>
    </row>
    <row r="1592" spans="1:1" x14ac:dyDescent="0.2">
      <c r="A1592">
        <v>-981.14854460995412</v>
      </c>
    </row>
    <row r="1593" spans="1:1" x14ac:dyDescent="0.2">
      <c r="A1593">
        <v>6190.1887432507356</v>
      </c>
    </row>
    <row r="1594" spans="1:1" x14ac:dyDescent="0.2">
      <c r="A1594">
        <v>5432.2205825809797</v>
      </c>
    </row>
    <row r="1595" spans="1:1" x14ac:dyDescent="0.2">
      <c r="A1595">
        <v>11207.120692299242</v>
      </c>
    </row>
    <row r="1596" spans="1:1" x14ac:dyDescent="0.2">
      <c r="A1596">
        <v>4373.7678486010409</v>
      </c>
    </row>
    <row r="1597" spans="1:1" x14ac:dyDescent="0.2">
      <c r="A1597">
        <v>16121.045150677033</v>
      </c>
    </row>
    <row r="1598" spans="1:1" x14ac:dyDescent="0.2">
      <c r="A1598">
        <v>-6870.1520037615264</v>
      </c>
    </row>
    <row r="1599" spans="1:1" x14ac:dyDescent="0.2">
      <c r="A1599">
        <v>-14101.773152978159</v>
      </c>
    </row>
    <row r="1600" spans="1:1" x14ac:dyDescent="0.2">
      <c r="A1600">
        <v>4316.611054518813</v>
      </c>
    </row>
    <row r="1601" spans="1:1" x14ac:dyDescent="0.2">
      <c r="A1601">
        <v>20331.759781247267</v>
      </c>
    </row>
    <row r="1602" spans="1:1" x14ac:dyDescent="0.2">
      <c r="A1602">
        <v>2324.9907135850517</v>
      </c>
    </row>
    <row r="1603" spans="1:1" x14ac:dyDescent="0.2">
      <c r="A1603">
        <v>-7923.7742531092954</v>
      </c>
    </row>
    <row r="1604" spans="1:1" x14ac:dyDescent="0.2">
      <c r="A1604">
        <v>-5984.9186051713477</v>
      </c>
    </row>
    <row r="1605" spans="1:1" x14ac:dyDescent="0.2">
      <c r="A1605">
        <v>1584.5246821807814</v>
      </c>
    </row>
    <row r="1606" spans="1:1" x14ac:dyDescent="0.2">
      <c r="A1606">
        <v>870.41046517359791</v>
      </c>
    </row>
    <row r="1607" spans="1:1" x14ac:dyDescent="0.2">
      <c r="A1607">
        <v>6263.1345856576809</v>
      </c>
    </row>
    <row r="1608" spans="1:1" x14ac:dyDescent="0.2">
      <c r="A1608">
        <v>7896.0719206094509</v>
      </c>
    </row>
    <row r="1609" spans="1:1" x14ac:dyDescent="0.2">
      <c r="A1609">
        <v>-789.48602304820088</v>
      </c>
    </row>
    <row r="1610" spans="1:1" x14ac:dyDescent="0.2">
      <c r="A1610">
        <v>-2213.0057920203544</v>
      </c>
    </row>
    <row r="1611" spans="1:1" x14ac:dyDescent="0.2">
      <c r="A1611">
        <v>412.85519466816913</v>
      </c>
    </row>
    <row r="1612" spans="1:1" x14ac:dyDescent="0.2">
      <c r="A1612">
        <v>15148.736460147658</v>
      </c>
    </row>
    <row r="1613" spans="1:1" x14ac:dyDescent="0.2">
      <c r="A1613">
        <v>23288.795561265113</v>
      </c>
    </row>
    <row r="1614" spans="1:1" x14ac:dyDescent="0.2">
      <c r="A1614">
        <v>6312.4790005696705</v>
      </c>
    </row>
    <row r="1615" spans="1:1" x14ac:dyDescent="0.2">
      <c r="A1615">
        <v>-8563.5490501411259</v>
      </c>
    </row>
    <row r="1616" spans="1:1" x14ac:dyDescent="0.2">
      <c r="A1616">
        <v>-634.59107767575188</v>
      </c>
    </row>
    <row r="1617" spans="1:1" x14ac:dyDescent="0.2">
      <c r="A1617">
        <v>-2394.9156122224522</v>
      </c>
    </row>
    <row r="1618" spans="1:1" x14ac:dyDescent="0.2">
      <c r="A1618">
        <v>850.67818878107937</v>
      </c>
    </row>
    <row r="1619" spans="1:1" x14ac:dyDescent="0.2">
      <c r="A1619">
        <v>9682.2263998568524</v>
      </c>
    </row>
    <row r="1620" spans="1:1" x14ac:dyDescent="0.2">
      <c r="A1620">
        <v>3303.61805252044</v>
      </c>
    </row>
    <row r="1621" spans="1:1" x14ac:dyDescent="0.2">
      <c r="A1621">
        <v>946.29903100250522</v>
      </c>
    </row>
    <row r="1622" spans="1:1" x14ac:dyDescent="0.2">
      <c r="A1622">
        <v>-39092.921719708305</v>
      </c>
    </row>
    <row r="1623" spans="1:1" x14ac:dyDescent="0.2">
      <c r="A1623">
        <v>-11086.778628362488</v>
      </c>
    </row>
    <row r="1624" spans="1:1" x14ac:dyDescent="0.2">
      <c r="A1624">
        <v>473.50904199265642</v>
      </c>
    </row>
    <row r="1625" spans="1:1" x14ac:dyDescent="0.2">
      <c r="A1625">
        <v>11582.273137536016</v>
      </c>
    </row>
    <row r="1626" spans="1:1" x14ac:dyDescent="0.2">
      <c r="A1626">
        <v>8356.3199063455686</v>
      </c>
    </row>
    <row r="1627" spans="1:1" x14ac:dyDescent="0.2">
      <c r="A1627">
        <v>-981.46274453104706</v>
      </c>
    </row>
    <row r="1628" spans="1:1" x14ac:dyDescent="0.2">
      <c r="A1628">
        <v>-1950.9113027953135</v>
      </c>
    </row>
    <row r="1629" spans="1:1" x14ac:dyDescent="0.2">
      <c r="A1629">
        <v>-2728.4416198009858</v>
      </c>
    </row>
    <row r="1630" spans="1:1" x14ac:dyDescent="0.2">
      <c r="A1630">
        <v>15502.7407602655</v>
      </c>
    </row>
    <row r="1631" spans="1:1" x14ac:dyDescent="0.2">
      <c r="A1631">
        <v>-13353.313602287264</v>
      </c>
    </row>
    <row r="1632" spans="1:1" x14ac:dyDescent="0.2">
      <c r="A1632">
        <v>-5851.8088827084284</v>
      </c>
    </row>
    <row r="1633" spans="1:1" x14ac:dyDescent="0.2">
      <c r="A1633">
        <v>-6782.0515088085667</v>
      </c>
    </row>
    <row r="1634" spans="1:1" x14ac:dyDescent="0.2">
      <c r="A1634">
        <v>3182.7160556452873</v>
      </c>
    </row>
    <row r="1635" spans="1:1" x14ac:dyDescent="0.2">
      <c r="A1635">
        <v>471.62811285827775</v>
      </c>
    </row>
    <row r="1636" spans="1:1" x14ac:dyDescent="0.2">
      <c r="A1636">
        <v>-9554.219777841121</v>
      </c>
    </row>
    <row r="1637" spans="1:1" x14ac:dyDescent="0.2">
      <c r="A1637">
        <v>-10875.714352890791</v>
      </c>
    </row>
    <row r="1638" spans="1:1" x14ac:dyDescent="0.2">
      <c r="A1638">
        <v>16891.847726656066</v>
      </c>
    </row>
    <row r="1639" spans="1:1" x14ac:dyDescent="0.2">
      <c r="A1639">
        <v>4350.5921090454794</v>
      </c>
    </row>
    <row r="1640" spans="1:1" x14ac:dyDescent="0.2">
      <c r="A1640">
        <v>-9881.1226491841662</v>
      </c>
    </row>
    <row r="1641" spans="1:1" x14ac:dyDescent="0.2">
      <c r="A1641">
        <v>-1649.8076896440762</v>
      </c>
    </row>
    <row r="1642" spans="1:1" x14ac:dyDescent="0.2">
      <c r="A1642">
        <v>8362.7514235670387</v>
      </c>
    </row>
    <row r="1643" spans="1:1" x14ac:dyDescent="0.2">
      <c r="A1643">
        <v>3752.8563585024676</v>
      </c>
    </row>
    <row r="1644" spans="1:1" x14ac:dyDescent="0.2">
      <c r="A1644">
        <v>5098.7816178285284</v>
      </c>
    </row>
    <row r="1645" spans="1:1" x14ac:dyDescent="0.2">
      <c r="A1645">
        <v>5231.5106641915918</v>
      </c>
    </row>
    <row r="1646" spans="1:1" x14ac:dyDescent="0.2">
      <c r="A1646">
        <v>-4461.6621728881146</v>
      </c>
    </row>
    <row r="1647" spans="1:1" x14ac:dyDescent="0.2">
      <c r="A1647">
        <v>12642.576665730914</v>
      </c>
    </row>
    <row r="1648" spans="1:1" x14ac:dyDescent="0.2">
      <c r="A1648">
        <v>-12715.408163170709</v>
      </c>
    </row>
    <row r="1649" spans="1:1" x14ac:dyDescent="0.2">
      <c r="A1649">
        <v>-4315.4913493798231</v>
      </c>
    </row>
    <row r="1650" spans="1:1" x14ac:dyDescent="0.2">
      <c r="A1650">
        <v>4402.0928867009643</v>
      </c>
    </row>
    <row r="1651" spans="1:1" x14ac:dyDescent="0.2">
      <c r="A1651">
        <v>607.89060333918314</v>
      </c>
    </row>
    <row r="1652" spans="1:1" x14ac:dyDescent="0.2">
      <c r="A1652">
        <v>850.32832423306536</v>
      </c>
    </row>
    <row r="1653" spans="1:1" x14ac:dyDescent="0.2">
      <c r="A1653">
        <v>10566.165999899502</v>
      </c>
    </row>
    <row r="1654" spans="1:1" x14ac:dyDescent="0.2">
      <c r="A1654">
        <v>3089.796044916031</v>
      </c>
    </row>
    <row r="1655" spans="1:1" x14ac:dyDescent="0.2">
      <c r="A1655">
        <v>-16103.401322068996</v>
      </c>
    </row>
    <row r="1656" spans="1:1" x14ac:dyDescent="0.2">
      <c r="A1656">
        <v>9325.9732739311294</v>
      </c>
    </row>
    <row r="1657" spans="1:1" x14ac:dyDescent="0.2">
      <c r="A1657">
        <v>2288.3905539074622</v>
      </c>
    </row>
    <row r="1658" spans="1:1" x14ac:dyDescent="0.2">
      <c r="A1658">
        <v>269.76988857606193</v>
      </c>
    </row>
    <row r="1659" spans="1:1" x14ac:dyDescent="0.2">
      <c r="A1659">
        <v>-14022.908148229122</v>
      </c>
    </row>
    <row r="1660" spans="1:1" x14ac:dyDescent="0.2">
      <c r="A1660">
        <v>8705.3207439488324</v>
      </c>
    </row>
    <row r="1661" spans="1:1" x14ac:dyDescent="0.2">
      <c r="A1661">
        <v>-11089.07585977955</v>
      </c>
    </row>
    <row r="1662" spans="1:1" x14ac:dyDescent="0.2">
      <c r="A1662">
        <v>10525.683051672997</v>
      </c>
    </row>
    <row r="1663" spans="1:1" x14ac:dyDescent="0.2">
      <c r="A1663">
        <v>17492.154464934196</v>
      </c>
    </row>
    <row r="1664" spans="1:1" x14ac:dyDescent="0.2">
      <c r="A1664">
        <v>6493.3327256171324</v>
      </c>
    </row>
    <row r="1665" spans="1:1" x14ac:dyDescent="0.2">
      <c r="A1665">
        <v>14563.480520113662</v>
      </c>
    </row>
    <row r="1666" spans="1:1" x14ac:dyDescent="0.2">
      <c r="A1666">
        <v>2860.4430421596335</v>
      </c>
    </row>
    <row r="1667" spans="1:1" x14ac:dyDescent="0.2">
      <c r="A1667">
        <v>-68.481115844042506</v>
      </c>
    </row>
    <row r="1668" spans="1:1" x14ac:dyDescent="0.2">
      <c r="A1668">
        <v>9806.3230246333405</v>
      </c>
    </row>
    <row r="1669" spans="1:1" x14ac:dyDescent="0.2">
      <c r="A1669">
        <v>-8139.9026115853267</v>
      </c>
    </row>
    <row r="1670" spans="1:1" x14ac:dyDescent="0.2">
      <c r="A1670">
        <v>-6234.3526410542545</v>
      </c>
    </row>
    <row r="1671" spans="1:1" x14ac:dyDescent="0.2">
      <c r="A1671">
        <v>6656.4419964689878</v>
      </c>
    </row>
    <row r="1672" spans="1:1" x14ac:dyDescent="0.2">
      <c r="A1672">
        <v>6156.3280649441294</v>
      </c>
    </row>
    <row r="1673" spans="1:1" x14ac:dyDescent="0.2">
      <c r="A1673">
        <v>8349.003686249227</v>
      </c>
    </row>
    <row r="1674" spans="1:1" x14ac:dyDescent="0.2">
      <c r="A1674">
        <v>4867.4500439151016</v>
      </c>
    </row>
    <row r="1675" spans="1:1" x14ac:dyDescent="0.2">
      <c r="A1675">
        <v>3473.9192154483462</v>
      </c>
    </row>
    <row r="1676" spans="1:1" x14ac:dyDescent="0.2">
      <c r="A1676">
        <v>-3465.8144670198672</v>
      </c>
    </row>
    <row r="1677" spans="1:1" x14ac:dyDescent="0.2">
      <c r="A1677">
        <v>12855.935607292078</v>
      </c>
    </row>
    <row r="1678" spans="1:1" x14ac:dyDescent="0.2">
      <c r="A1678">
        <v>12175.667056275357</v>
      </c>
    </row>
    <row r="1679" spans="1:1" x14ac:dyDescent="0.2">
      <c r="A1679">
        <v>3689.8717695437081</v>
      </c>
    </row>
    <row r="1680" spans="1:1" x14ac:dyDescent="0.2">
      <c r="A1680">
        <v>6900.9273152816459</v>
      </c>
    </row>
    <row r="1681" spans="1:1" x14ac:dyDescent="0.2">
      <c r="A1681">
        <v>24360.474946096947</v>
      </c>
    </row>
    <row r="1682" spans="1:1" x14ac:dyDescent="0.2">
      <c r="A1682">
        <v>-2522.0880952232401</v>
      </c>
    </row>
    <row r="1683" spans="1:1" x14ac:dyDescent="0.2">
      <c r="A1683">
        <v>13231.828672451142</v>
      </c>
    </row>
    <row r="1684" spans="1:1" x14ac:dyDescent="0.2">
      <c r="A1684">
        <v>7851.8604719842842</v>
      </c>
    </row>
    <row r="1685" spans="1:1" x14ac:dyDescent="0.2">
      <c r="A1685">
        <v>-2144.3868970595649</v>
      </c>
    </row>
    <row r="1686" spans="1:1" x14ac:dyDescent="0.2">
      <c r="A1686">
        <v>1739.101734666212</v>
      </c>
    </row>
    <row r="1687" spans="1:1" x14ac:dyDescent="0.2">
      <c r="A1687">
        <v>-34127.514579072653</v>
      </c>
    </row>
    <row r="1688" spans="1:1" x14ac:dyDescent="0.2">
      <c r="A1688">
        <v>5474.5936349888507</v>
      </c>
    </row>
    <row r="1689" spans="1:1" x14ac:dyDescent="0.2">
      <c r="A1689">
        <v>-23882.209503441059</v>
      </c>
    </row>
    <row r="1690" spans="1:1" x14ac:dyDescent="0.2">
      <c r="A1690">
        <v>-11648.061754338094</v>
      </c>
    </row>
    <row r="1691" spans="1:1" x14ac:dyDescent="0.2">
      <c r="A1691">
        <v>-2146.2623983960366</v>
      </c>
    </row>
    <row r="1692" spans="1:1" x14ac:dyDescent="0.2">
      <c r="A1692">
        <v>3219.0826131259673</v>
      </c>
    </row>
    <row r="1693" spans="1:1" x14ac:dyDescent="0.2">
      <c r="A1693">
        <v>3544.1325768311799</v>
      </c>
    </row>
    <row r="1694" spans="1:1" x14ac:dyDescent="0.2">
      <c r="A1694">
        <v>-1854.6081408194441</v>
      </c>
    </row>
    <row r="1695" spans="1:1" x14ac:dyDescent="0.2">
      <c r="A1695">
        <v>21339.685156799722</v>
      </c>
    </row>
    <row r="1696" spans="1:1" x14ac:dyDescent="0.2">
      <c r="A1696">
        <v>1819.1720104929118</v>
      </c>
    </row>
    <row r="1697" spans="1:1" x14ac:dyDescent="0.2">
      <c r="A1697">
        <v>13552.797769601981</v>
      </c>
    </row>
    <row r="1698" spans="1:1" x14ac:dyDescent="0.2">
      <c r="A1698">
        <v>1236.6745935896179</v>
      </c>
    </row>
    <row r="1699" spans="1:1" x14ac:dyDescent="0.2">
      <c r="A1699">
        <v>15060.219260625192</v>
      </c>
    </row>
    <row r="1700" spans="1:1" x14ac:dyDescent="0.2">
      <c r="A1700">
        <v>-11959.631793885172</v>
      </c>
    </row>
    <row r="1701" spans="1:1" x14ac:dyDescent="0.2">
      <c r="A1701">
        <v>-13941.723120234237</v>
      </c>
    </row>
    <row r="1702" spans="1:1" x14ac:dyDescent="0.2">
      <c r="A1702">
        <v>14641.025210381253</v>
      </c>
    </row>
    <row r="1703" spans="1:1" x14ac:dyDescent="0.2">
      <c r="A1703">
        <v>17498.599258538918</v>
      </c>
    </row>
    <row r="1704" spans="1:1" x14ac:dyDescent="0.2">
      <c r="A1704">
        <v>4849.6139134670957</v>
      </c>
    </row>
    <row r="1705" spans="1:1" x14ac:dyDescent="0.2">
      <c r="A1705">
        <v>10034.626205000386</v>
      </c>
    </row>
    <row r="1706" spans="1:1" x14ac:dyDescent="0.2">
      <c r="A1706">
        <v>-1422.5059766744962</v>
      </c>
    </row>
    <row r="1707" spans="1:1" x14ac:dyDescent="0.2">
      <c r="A1707">
        <v>5443.6107781541359</v>
      </c>
    </row>
    <row r="1708" spans="1:1" x14ac:dyDescent="0.2">
      <c r="A1708">
        <v>12786.039564113191</v>
      </c>
    </row>
    <row r="1709" spans="1:1" x14ac:dyDescent="0.2">
      <c r="A1709">
        <v>-1327.86265818213</v>
      </c>
    </row>
    <row r="1710" spans="1:1" x14ac:dyDescent="0.2">
      <c r="A1710">
        <v>2159.4948073829291</v>
      </c>
    </row>
    <row r="1711" spans="1:1" x14ac:dyDescent="0.2">
      <c r="A1711">
        <v>2875.3891894695116</v>
      </c>
    </row>
    <row r="1712" spans="1:1" x14ac:dyDescent="0.2">
      <c r="A1712">
        <v>494.23475665683509</v>
      </c>
    </row>
    <row r="1713" spans="1:1" x14ac:dyDescent="0.2">
      <c r="A1713">
        <v>-13010.173019532871</v>
      </c>
    </row>
    <row r="1714" spans="1:1" x14ac:dyDescent="0.2">
      <c r="A1714">
        <v>8170.1651899486606</v>
      </c>
    </row>
    <row r="1715" spans="1:1" x14ac:dyDescent="0.2">
      <c r="A1715">
        <v>9895.1150131125178</v>
      </c>
    </row>
    <row r="1716" spans="1:1" x14ac:dyDescent="0.2">
      <c r="A1716">
        <v>22726.279090102238</v>
      </c>
    </row>
    <row r="1717" spans="1:1" x14ac:dyDescent="0.2">
      <c r="A1717">
        <v>7327.0187518866151</v>
      </c>
    </row>
    <row r="1718" spans="1:1" x14ac:dyDescent="0.2">
      <c r="A1718">
        <v>8521.6495794941438</v>
      </c>
    </row>
    <row r="1719" spans="1:1" x14ac:dyDescent="0.2">
      <c r="A1719">
        <v>6115.3733249654761</v>
      </c>
    </row>
    <row r="1720" spans="1:1" x14ac:dyDescent="0.2">
      <c r="A1720">
        <v>-13874.609028388862</v>
      </c>
    </row>
    <row r="1721" spans="1:1" x14ac:dyDescent="0.2">
      <c r="A1721">
        <v>16544.591217438108</v>
      </c>
    </row>
    <row r="1722" spans="1:1" x14ac:dyDescent="0.2">
      <c r="A1722">
        <v>4454.8373796801316</v>
      </c>
    </row>
    <row r="1723" spans="1:1" x14ac:dyDescent="0.2">
      <c r="A1723">
        <v>-1668.5219104702701</v>
      </c>
    </row>
    <row r="1724" spans="1:1" x14ac:dyDescent="0.2">
      <c r="A1724">
        <v>17007.810070830921</v>
      </c>
    </row>
    <row r="1725" spans="1:1" x14ac:dyDescent="0.2">
      <c r="A1725">
        <v>6760.6009884797095</v>
      </c>
    </row>
    <row r="1726" spans="1:1" x14ac:dyDescent="0.2">
      <c r="A1726">
        <v>-7527.8358927997178</v>
      </c>
    </row>
    <row r="1727" spans="1:1" x14ac:dyDescent="0.2">
      <c r="A1727">
        <v>1913.7930332340475</v>
      </c>
    </row>
    <row r="1728" spans="1:1" x14ac:dyDescent="0.2">
      <c r="A1728">
        <v>-5981.0557250682905</v>
      </c>
    </row>
    <row r="1729" spans="1:1" x14ac:dyDescent="0.2">
      <c r="A1729">
        <v>-4398.7543082340853</v>
      </c>
    </row>
    <row r="1730" spans="1:1" x14ac:dyDescent="0.2">
      <c r="A1730">
        <v>2674.6174902906641</v>
      </c>
    </row>
    <row r="1731" spans="1:1" x14ac:dyDescent="0.2">
      <c r="A1731">
        <v>8950.3813545524899</v>
      </c>
    </row>
    <row r="1732" spans="1:1" x14ac:dyDescent="0.2">
      <c r="A1732">
        <v>658.87709580775118</v>
      </c>
    </row>
    <row r="1733" spans="1:1" x14ac:dyDescent="0.2">
      <c r="A1733">
        <v>-2027.2293910839362</v>
      </c>
    </row>
    <row r="1734" spans="1:1" x14ac:dyDescent="0.2">
      <c r="A1734">
        <v>508.03363601502497</v>
      </c>
    </row>
    <row r="1735" spans="1:1" x14ac:dyDescent="0.2">
      <c r="A1735">
        <v>5814.850263992179</v>
      </c>
    </row>
    <row r="1736" spans="1:1" x14ac:dyDescent="0.2">
      <c r="A1736">
        <v>-3942.0350742111332</v>
      </c>
    </row>
    <row r="1737" spans="1:1" x14ac:dyDescent="0.2">
      <c r="A1737">
        <v>9547.4811165817664</v>
      </c>
    </row>
    <row r="1738" spans="1:1" x14ac:dyDescent="0.2">
      <c r="A1738">
        <v>-5858.3866507545463</v>
      </c>
    </row>
    <row r="1739" spans="1:1" x14ac:dyDescent="0.2">
      <c r="A1739">
        <v>5626.9430821032147</v>
      </c>
    </row>
    <row r="1740" spans="1:1" x14ac:dyDescent="0.2">
      <c r="A1740">
        <v>11050.820468096819</v>
      </c>
    </row>
    <row r="1741" spans="1:1" x14ac:dyDescent="0.2">
      <c r="A1741">
        <v>-2038.9663204052486</v>
      </c>
    </row>
    <row r="1742" spans="1:1" x14ac:dyDescent="0.2">
      <c r="A1742">
        <v>11580.564425802848</v>
      </c>
    </row>
    <row r="1743" spans="1:1" x14ac:dyDescent="0.2">
      <c r="A1743">
        <v>7926.3216587620263</v>
      </c>
    </row>
    <row r="1744" spans="1:1" x14ac:dyDescent="0.2">
      <c r="A1744">
        <v>-4178.4637530450709</v>
      </c>
    </row>
    <row r="1745" spans="1:1" x14ac:dyDescent="0.2">
      <c r="A1745">
        <v>6575.6148155174451</v>
      </c>
    </row>
    <row r="1746" spans="1:1" x14ac:dyDescent="0.2">
      <c r="A1746">
        <v>-8083.1841388011235</v>
      </c>
    </row>
    <row r="1747" spans="1:1" x14ac:dyDescent="0.2">
      <c r="A1747">
        <v>15752.553633137228</v>
      </c>
    </row>
    <row r="1748" spans="1:1" x14ac:dyDescent="0.2">
      <c r="A1748">
        <v>7023.1182913743251</v>
      </c>
    </row>
    <row r="1749" spans="1:1" x14ac:dyDescent="0.2">
      <c r="A1749">
        <v>-1863.1195579606574</v>
      </c>
    </row>
    <row r="1750" spans="1:1" x14ac:dyDescent="0.2">
      <c r="A1750">
        <v>-25947.885842077376</v>
      </c>
    </row>
    <row r="1751" spans="1:1" x14ac:dyDescent="0.2">
      <c r="A1751">
        <v>-297.03541596324067</v>
      </c>
    </row>
    <row r="1752" spans="1:1" x14ac:dyDescent="0.2">
      <c r="A1752">
        <v>14387.946909691091</v>
      </c>
    </row>
    <row r="1753" spans="1:1" x14ac:dyDescent="0.2">
      <c r="A1753">
        <v>3771.0248380665726</v>
      </c>
    </row>
    <row r="1754" spans="1:1" x14ac:dyDescent="0.2">
      <c r="A1754">
        <v>4693.2720291816804</v>
      </c>
    </row>
    <row r="1755" spans="1:1" x14ac:dyDescent="0.2">
      <c r="A1755">
        <v>-13716.194172110845</v>
      </c>
    </row>
    <row r="1756" spans="1:1" x14ac:dyDescent="0.2">
      <c r="A1756">
        <v>2879.1908903033182</v>
      </c>
    </row>
    <row r="1757" spans="1:1" x14ac:dyDescent="0.2">
      <c r="A1757">
        <v>15668.640013888857</v>
      </c>
    </row>
    <row r="1758" spans="1:1" x14ac:dyDescent="0.2">
      <c r="A1758">
        <v>-2959.8790718607488</v>
      </c>
    </row>
    <row r="1759" spans="1:1" x14ac:dyDescent="0.2">
      <c r="A1759">
        <v>9849.0434800062794</v>
      </c>
    </row>
    <row r="1760" spans="1:1" x14ac:dyDescent="0.2">
      <c r="A1760">
        <v>-2597.920155171596</v>
      </c>
    </row>
    <row r="1761" spans="1:1" x14ac:dyDescent="0.2">
      <c r="A1761">
        <v>-4722.4797693756409</v>
      </c>
    </row>
    <row r="1762" spans="1:1" x14ac:dyDescent="0.2">
      <c r="A1762">
        <v>12720.590440706583</v>
      </c>
    </row>
    <row r="1763" spans="1:1" x14ac:dyDescent="0.2">
      <c r="A1763">
        <v>3498.785956613021</v>
      </c>
    </row>
    <row r="1764" spans="1:1" x14ac:dyDescent="0.2">
      <c r="A1764">
        <v>30332.437128026562</v>
      </c>
    </row>
    <row r="1765" spans="1:1" x14ac:dyDescent="0.2">
      <c r="A1765">
        <v>1155.4922205095645</v>
      </c>
    </row>
    <row r="1766" spans="1:1" x14ac:dyDescent="0.2">
      <c r="A1766">
        <v>1585.0355957036954</v>
      </c>
    </row>
    <row r="1767" spans="1:1" x14ac:dyDescent="0.2">
      <c r="A1767">
        <v>-2974.708018049394</v>
      </c>
    </row>
    <row r="1768" spans="1:1" x14ac:dyDescent="0.2">
      <c r="A1768">
        <v>-11993.66277900702</v>
      </c>
    </row>
    <row r="1769" spans="1:1" x14ac:dyDescent="0.2">
      <c r="A1769">
        <v>-1372.0951195561793</v>
      </c>
    </row>
    <row r="1770" spans="1:1" x14ac:dyDescent="0.2">
      <c r="A1770">
        <v>10464.147322351928</v>
      </c>
    </row>
    <row r="1771" spans="1:1" x14ac:dyDescent="0.2">
      <c r="A1771">
        <v>10457.995125898102</v>
      </c>
    </row>
    <row r="1772" spans="1:1" x14ac:dyDescent="0.2">
      <c r="A1772">
        <v>6790.6740037807613</v>
      </c>
    </row>
    <row r="1773" spans="1:1" x14ac:dyDescent="0.2">
      <c r="A1773">
        <v>-1237.8270417045569</v>
      </c>
    </row>
    <row r="1774" spans="1:1" x14ac:dyDescent="0.2">
      <c r="A1774">
        <v>-69.636986223515123</v>
      </c>
    </row>
    <row r="1775" spans="1:1" x14ac:dyDescent="0.2">
      <c r="A1775">
        <v>6430.1970325785223</v>
      </c>
    </row>
    <row r="1776" spans="1:1" x14ac:dyDescent="0.2">
      <c r="A1776">
        <v>-4834.913551380916</v>
      </c>
    </row>
    <row r="1777" spans="1:1" x14ac:dyDescent="0.2">
      <c r="A1777">
        <v>9332.6414864882245</v>
      </c>
    </row>
    <row r="1778" spans="1:1" x14ac:dyDescent="0.2">
      <c r="A1778">
        <v>12112.328764779726</v>
      </c>
    </row>
    <row r="1779" spans="1:1" x14ac:dyDescent="0.2">
      <c r="A1779">
        <v>19018.998344624357</v>
      </c>
    </row>
    <row r="1780" spans="1:1" x14ac:dyDescent="0.2">
      <c r="A1780">
        <v>-966.4416532208561</v>
      </c>
    </row>
    <row r="1781" spans="1:1" x14ac:dyDescent="0.2">
      <c r="A1781">
        <v>8976.7912861057266</v>
      </c>
    </row>
    <row r="1782" spans="1:1" x14ac:dyDescent="0.2">
      <c r="A1782">
        <v>5318.4286828743643</v>
      </c>
    </row>
    <row r="1783" spans="1:1" x14ac:dyDescent="0.2">
      <c r="A1783">
        <v>-1109.430151212553</v>
      </c>
    </row>
    <row r="1784" spans="1:1" x14ac:dyDescent="0.2">
      <c r="A1784">
        <v>-8357.0597205599188</v>
      </c>
    </row>
    <row r="1785" spans="1:1" x14ac:dyDescent="0.2">
      <c r="A1785">
        <v>8968.6610893902835</v>
      </c>
    </row>
    <row r="1786" spans="1:1" x14ac:dyDescent="0.2">
      <c r="A1786">
        <v>-15104.941885380715</v>
      </c>
    </row>
    <row r="1787" spans="1:1" x14ac:dyDescent="0.2">
      <c r="A1787">
        <v>1925.4832185657579</v>
      </c>
    </row>
    <row r="1788" spans="1:1" x14ac:dyDescent="0.2">
      <c r="A1788">
        <v>3337.568280732361</v>
      </c>
    </row>
    <row r="1789" spans="1:1" x14ac:dyDescent="0.2">
      <c r="A1789">
        <v>-95.905298935889732</v>
      </c>
    </row>
    <row r="1790" spans="1:1" x14ac:dyDescent="0.2">
      <c r="A1790">
        <v>7770.5201307403622</v>
      </c>
    </row>
    <row r="1791" spans="1:1" x14ac:dyDescent="0.2">
      <c r="A1791">
        <v>21017.301610545226</v>
      </c>
    </row>
    <row r="1792" spans="1:1" x14ac:dyDescent="0.2">
      <c r="A1792">
        <v>2079.2882767254487</v>
      </c>
    </row>
    <row r="1793" spans="1:1" x14ac:dyDescent="0.2">
      <c r="A1793">
        <v>11128.784928290319</v>
      </c>
    </row>
    <row r="1794" spans="1:1" x14ac:dyDescent="0.2">
      <c r="A1794">
        <v>-20866.496458553942</v>
      </c>
    </row>
    <row r="1795" spans="1:1" x14ac:dyDescent="0.2">
      <c r="A1795">
        <v>11079.510515640606</v>
      </c>
    </row>
    <row r="1796" spans="1:1" x14ac:dyDescent="0.2">
      <c r="A1796">
        <v>14515.902306594711</v>
      </c>
    </row>
    <row r="1797" spans="1:1" x14ac:dyDescent="0.2">
      <c r="A1797">
        <v>-3491.0169570410508</v>
      </c>
    </row>
    <row r="1798" spans="1:1" x14ac:dyDescent="0.2">
      <c r="A1798">
        <v>3316.5545666216349</v>
      </c>
    </row>
    <row r="1799" spans="1:1" x14ac:dyDescent="0.2">
      <c r="A1799">
        <v>8537.206337831798</v>
      </c>
    </row>
    <row r="1800" spans="1:1" x14ac:dyDescent="0.2">
      <c r="A1800">
        <v>12342.484604093916</v>
      </c>
    </row>
    <row r="1801" spans="1:1" x14ac:dyDescent="0.2">
      <c r="A1801">
        <v>8569.5020614427922</v>
      </c>
    </row>
    <row r="1802" spans="1:1" x14ac:dyDescent="0.2">
      <c r="A1802">
        <v>-13136.621731128165</v>
      </c>
    </row>
    <row r="1803" spans="1:1" x14ac:dyDescent="0.2">
      <c r="A1803">
        <v>-15176.589490484213</v>
      </c>
    </row>
    <row r="1804" spans="1:1" x14ac:dyDescent="0.2">
      <c r="A1804">
        <v>9691.9674989107007</v>
      </c>
    </row>
    <row r="1805" spans="1:1" x14ac:dyDescent="0.2">
      <c r="A1805">
        <v>9110.3832303393428</v>
      </c>
    </row>
    <row r="1806" spans="1:1" x14ac:dyDescent="0.2">
      <c r="A1806">
        <v>-5445.4893098996836</v>
      </c>
    </row>
    <row r="1807" spans="1:1" x14ac:dyDescent="0.2">
      <c r="A1807">
        <v>1252.5979988161707</v>
      </c>
    </row>
    <row r="1808" spans="1:1" x14ac:dyDescent="0.2">
      <c r="A1808">
        <v>-2399.2193518856657</v>
      </c>
    </row>
    <row r="1809" spans="1:1" x14ac:dyDescent="0.2">
      <c r="A1809">
        <v>-9353.360810400336</v>
      </c>
    </row>
    <row r="1810" spans="1:1" x14ac:dyDescent="0.2">
      <c r="A1810">
        <v>9007.6804302963428</v>
      </c>
    </row>
    <row r="1811" spans="1:1" x14ac:dyDescent="0.2">
      <c r="A1811">
        <v>7015.1400989756803</v>
      </c>
    </row>
    <row r="1812" spans="1:1" x14ac:dyDescent="0.2">
      <c r="A1812">
        <v>12081.405962595192</v>
      </c>
    </row>
    <row r="1813" spans="1:1" x14ac:dyDescent="0.2">
      <c r="A1813">
        <v>9339.4205430806614</v>
      </c>
    </row>
    <row r="1814" spans="1:1" x14ac:dyDescent="0.2">
      <c r="A1814">
        <v>2456.9117498657142</v>
      </c>
    </row>
    <row r="1815" spans="1:1" x14ac:dyDescent="0.2">
      <c r="A1815">
        <v>6538.9860685483436</v>
      </c>
    </row>
    <row r="1816" spans="1:1" x14ac:dyDescent="0.2">
      <c r="A1816">
        <v>8047.5382133093663</v>
      </c>
    </row>
    <row r="1817" spans="1:1" x14ac:dyDescent="0.2">
      <c r="A1817">
        <v>-5270.3979844947753</v>
      </c>
    </row>
    <row r="1818" spans="1:1" x14ac:dyDescent="0.2">
      <c r="A1818">
        <v>4520.3993220171542</v>
      </c>
    </row>
    <row r="1819" spans="1:1" x14ac:dyDescent="0.2">
      <c r="A1819">
        <v>636.15986003761645</v>
      </c>
    </row>
    <row r="1820" spans="1:1" x14ac:dyDescent="0.2">
      <c r="A1820">
        <v>10369.246245210903</v>
      </c>
    </row>
    <row r="1821" spans="1:1" x14ac:dyDescent="0.2">
      <c r="A1821">
        <v>5320.932467460254</v>
      </c>
    </row>
    <row r="1822" spans="1:1" x14ac:dyDescent="0.2">
      <c r="A1822">
        <v>1444.086921436945</v>
      </c>
    </row>
    <row r="1823" spans="1:1" x14ac:dyDescent="0.2">
      <c r="A1823">
        <v>-12341.690068437107</v>
      </c>
    </row>
    <row r="1824" spans="1:1" x14ac:dyDescent="0.2">
      <c r="A1824">
        <v>-4480.8894196691399</v>
      </c>
    </row>
    <row r="1825" spans="1:1" x14ac:dyDescent="0.2">
      <c r="A1825">
        <v>-7094.7046156942961</v>
      </c>
    </row>
    <row r="1826" spans="1:1" x14ac:dyDescent="0.2">
      <c r="A1826">
        <v>-5144.5482314390829</v>
      </c>
    </row>
    <row r="1827" spans="1:1" x14ac:dyDescent="0.2">
      <c r="A1827">
        <v>7970.0298124421679</v>
      </c>
    </row>
    <row r="1828" spans="1:1" x14ac:dyDescent="0.2">
      <c r="A1828">
        <v>74.567877417241107</v>
      </c>
    </row>
    <row r="1829" spans="1:1" x14ac:dyDescent="0.2">
      <c r="A1829">
        <v>-15642.648867340642</v>
      </c>
    </row>
    <row r="1830" spans="1:1" x14ac:dyDescent="0.2">
      <c r="A1830">
        <v>4154.9723223031615</v>
      </c>
    </row>
    <row r="1831" spans="1:1" x14ac:dyDescent="0.2">
      <c r="A1831">
        <v>9361.9925842390221</v>
      </c>
    </row>
    <row r="1832" spans="1:1" x14ac:dyDescent="0.2">
      <c r="A1832">
        <v>789.07340940251015</v>
      </c>
    </row>
    <row r="1833" spans="1:1" x14ac:dyDescent="0.2">
      <c r="A1833">
        <v>14508.305923237203</v>
      </c>
    </row>
    <row r="1834" spans="1:1" x14ac:dyDescent="0.2">
      <c r="A1834">
        <v>7025.5923695419042</v>
      </c>
    </row>
    <row r="1835" spans="1:1" x14ac:dyDescent="0.2">
      <c r="A1835">
        <v>11595.081396977068</v>
      </c>
    </row>
    <row r="1836" spans="1:1" x14ac:dyDescent="0.2">
      <c r="A1836">
        <v>6641.0034139765485</v>
      </c>
    </row>
    <row r="1837" spans="1:1" x14ac:dyDescent="0.2">
      <c r="A1837">
        <v>-838.77774704640615</v>
      </c>
    </row>
    <row r="1838" spans="1:1" x14ac:dyDescent="0.2">
      <c r="A1838">
        <v>-8748.920564599277</v>
      </c>
    </row>
    <row r="1839" spans="1:1" x14ac:dyDescent="0.2">
      <c r="A1839">
        <v>-2825.1550504875486</v>
      </c>
    </row>
    <row r="1840" spans="1:1" x14ac:dyDescent="0.2">
      <c r="A1840">
        <v>14106.01706114359</v>
      </c>
    </row>
    <row r="1841" spans="1:1" x14ac:dyDescent="0.2">
      <c r="A1841">
        <v>14526.174876644975</v>
      </c>
    </row>
    <row r="1842" spans="1:1" x14ac:dyDescent="0.2">
      <c r="A1842">
        <v>10302.676964000653</v>
      </c>
    </row>
    <row r="1843" spans="1:1" x14ac:dyDescent="0.2">
      <c r="A1843">
        <v>7266.770497214311</v>
      </c>
    </row>
    <row r="1844" spans="1:1" x14ac:dyDescent="0.2">
      <c r="A1844">
        <v>-4246.2006242725183</v>
      </c>
    </row>
    <row r="1845" spans="1:1" x14ac:dyDescent="0.2">
      <c r="A1845">
        <v>-4105.0235965863976</v>
      </c>
    </row>
    <row r="1846" spans="1:1" x14ac:dyDescent="0.2">
      <c r="A1846">
        <v>-6048.7725557688391</v>
      </c>
    </row>
    <row r="1847" spans="1:1" x14ac:dyDescent="0.2">
      <c r="A1847">
        <v>-1096.9348532651784</v>
      </c>
    </row>
    <row r="1848" spans="1:1" x14ac:dyDescent="0.2">
      <c r="A1848">
        <v>-1797.4021761708427</v>
      </c>
    </row>
    <row r="1849" spans="1:1" x14ac:dyDescent="0.2">
      <c r="A1849">
        <v>-14108.645661084272</v>
      </c>
    </row>
    <row r="1850" spans="1:1" x14ac:dyDescent="0.2">
      <c r="A1850">
        <v>7078.2071832559304</v>
      </c>
    </row>
    <row r="1851" spans="1:1" x14ac:dyDescent="0.2">
      <c r="A1851">
        <v>4695.7569133840734</v>
      </c>
    </row>
    <row r="1852" spans="1:1" x14ac:dyDescent="0.2">
      <c r="A1852">
        <v>375.39770687016426</v>
      </c>
    </row>
    <row r="1853" spans="1:1" x14ac:dyDescent="0.2">
      <c r="A1853">
        <v>12413.547514257167</v>
      </c>
    </row>
    <row r="1854" spans="1:1" x14ac:dyDescent="0.2">
      <c r="A1854">
        <v>9080.1876496531477</v>
      </c>
    </row>
    <row r="1855" spans="1:1" x14ac:dyDescent="0.2">
      <c r="A1855">
        <v>5568.0865587119188</v>
      </c>
    </row>
    <row r="1856" spans="1:1" x14ac:dyDescent="0.2">
      <c r="A1856">
        <v>6389.4049383469392</v>
      </c>
    </row>
    <row r="1857" spans="1:1" x14ac:dyDescent="0.2">
      <c r="A1857">
        <v>7788.9328173774411</v>
      </c>
    </row>
    <row r="1858" spans="1:1" x14ac:dyDescent="0.2">
      <c r="A1858">
        <v>186.98652428510832</v>
      </c>
    </row>
    <row r="1859" spans="1:1" x14ac:dyDescent="0.2">
      <c r="A1859">
        <v>-6895.7878514813492</v>
      </c>
    </row>
    <row r="1860" spans="1:1" x14ac:dyDescent="0.2">
      <c r="A1860">
        <v>9585.2931601840828</v>
      </c>
    </row>
    <row r="1861" spans="1:1" x14ac:dyDescent="0.2">
      <c r="A1861">
        <v>-15952.218554815568</v>
      </c>
    </row>
    <row r="1862" spans="1:1" x14ac:dyDescent="0.2">
      <c r="A1862">
        <v>6411.1290003649192</v>
      </c>
    </row>
    <row r="1863" spans="1:1" x14ac:dyDescent="0.2">
      <c r="A1863">
        <v>7009.8294327184849</v>
      </c>
    </row>
    <row r="1864" spans="1:1" x14ac:dyDescent="0.2">
      <c r="A1864">
        <v>-10088.183296650532</v>
      </c>
    </row>
    <row r="1865" spans="1:1" x14ac:dyDescent="0.2">
      <c r="A1865">
        <v>725.58793492231052</v>
      </c>
    </row>
    <row r="1866" spans="1:1" x14ac:dyDescent="0.2">
      <c r="A1866">
        <v>2870.5656334920786</v>
      </c>
    </row>
    <row r="1867" spans="1:1" x14ac:dyDescent="0.2">
      <c r="A1867">
        <v>-2205.666976631619</v>
      </c>
    </row>
    <row r="1868" spans="1:1" x14ac:dyDescent="0.2">
      <c r="A1868">
        <v>11320.411650180875</v>
      </c>
    </row>
    <row r="1869" spans="1:1" x14ac:dyDescent="0.2">
      <c r="A1869">
        <v>4671.0826801476069</v>
      </c>
    </row>
    <row r="1870" spans="1:1" x14ac:dyDescent="0.2">
      <c r="A1870">
        <v>1130.1759457734006</v>
      </c>
    </row>
    <row r="1871" spans="1:1" x14ac:dyDescent="0.2">
      <c r="A1871">
        <v>18102.901519794541</v>
      </c>
    </row>
    <row r="1872" spans="1:1" x14ac:dyDescent="0.2">
      <c r="A1872">
        <v>4871.5184982038336</v>
      </c>
    </row>
    <row r="1873" spans="1:1" x14ac:dyDescent="0.2">
      <c r="A1873">
        <v>5427.4166627300438</v>
      </c>
    </row>
    <row r="1874" spans="1:1" x14ac:dyDescent="0.2">
      <c r="A1874">
        <v>10914.423524873768</v>
      </c>
    </row>
    <row r="1875" spans="1:1" x14ac:dyDescent="0.2">
      <c r="A1875">
        <v>-6224.1517390252557</v>
      </c>
    </row>
    <row r="1876" spans="1:1" x14ac:dyDescent="0.2">
      <c r="A1876">
        <v>16380.938172607217</v>
      </c>
    </row>
    <row r="1877" spans="1:1" x14ac:dyDescent="0.2">
      <c r="A1877">
        <v>5038.0031413047109</v>
      </c>
    </row>
    <row r="1878" spans="1:1" x14ac:dyDescent="0.2">
      <c r="A1878">
        <v>3346.8794633975485</v>
      </c>
    </row>
    <row r="1879" spans="1:1" x14ac:dyDescent="0.2">
      <c r="A1879">
        <v>-13412.375605009613</v>
      </c>
    </row>
    <row r="1880" spans="1:1" x14ac:dyDescent="0.2">
      <c r="A1880">
        <v>2346.1539358352893</v>
      </c>
    </row>
    <row r="1881" spans="1:1" x14ac:dyDescent="0.2">
      <c r="A1881">
        <v>11422.93998116412</v>
      </c>
    </row>
    <row r="1882" spans="1:1" x14ac:dyDescent="0.2">
      <c r="A1882">
        <v>-6297.2549810065248</v>
      </c>
    </row>
    <row r="1883" spans="1:1" x14ac:dyDescent="0.2">
      <c r="A1883">
        <v>-4162.8630023046862</v>
      </c>
    </row>
    <row r="1884" spans="1:1" x14ac:dyDescent="0.2">
      <c r="A1884">
        <v>-2295.673018041125</v>
      </c>
    </row>
    <row r="1885" spans="1:1" x14ac:dyDescent="0.2">
      <c r="A1885">
        <v>-1587.9564069895714</v>
      </c>
    </row>
    <row r="1886" spans="1:1" x14ac:dyDescent="0.2">
      <c r="A1886">
        <v>6310.8337587918795</v>
      </c>
    </row>
    <row r="1887" spans="1:1" x14ac:dyDescent="0.2">
      <c r="A1887">
        <v>11629.998153507506</v>
      </c>
    </row>
    <row r="1888" spans="1:1" x14ac:dyDescent="0.2">
      <c r="A1888">
        <v>8457.6712603455526</v>
      </c>
    </row>
    <row r="1889" spans="1:1" x14ac:dyDescent="0.2">
      <c r="A1889">
        <v>-24655.812073325505</v>
      </c>
    </row>
    <row r="1890" spans="1:1" x14ac:dyDescent="0.2">
      <c r="A1890">
        <v>5770.4007089456427</v>
      </c>
    </row>
    <row r="1891" spans="1:1" x14ac:dyDescent="0.2">
      <c r="A1891">
        <v>264.67698727085372</v>
      </c>
    </row>
    <row r="1892" spans="1:1" x14ac:dyDescent="0.2">
      <c r="A1892">
        <v>15628.161640215607</v>
      </c>
    </row>
    <row r="1893" spans="1:1" x14ac:dyDescent="0.2">
      <c r="A1893">
        <v>-2801.9775663499022</v>
      </c>
    </row>
    <row r="1894" spans="1:1" x14ac:dyDescent="0.2">
      <c r="A1894">
        <v>8817.5235382925021</v>
      </c>
    </row>
    <row r="1895" spans="1:1" x14ac:dyDescent="0.2">
      <c r="A1895">
        <v>2480.2416712220875</v>
      </c>
    </row>
    <row r="1896" spans="1:1" x14ac:dyDescent="0.2">
      <c r="A1896">
        <v>6676.1808363492601</v>
      </c>
    </row>
    <row r="1897" spans="1:1" x14ac:dyDescent="0.2">
      <c r="A1897">
        <v>9319.5694820991921</v>
      </c>
    </row>
    <row r="1898" spans="1:1" x14ac:dyDescent="0.2">
      <c r="A1898">
        <v>25203.84881766804</v>
      </c>
    </row>
    <row r="1899" spans="1:1" x14ac:dyDescent="0.2">
      <c r="A1899">
        <v>-20464.544813025335</v>
      </c>
    </row>
    <row r="1900" spans="1:1" x14ac:dyDescent="0.2">
      <c r="A1900">
        <v>1280.0603310562437</v>
      </c>
    </row>
    <row r="1901" spans="1:1" x14ac:dyDescent="0.2">
      <c r="A1901">
        <v>-7548.3451320097083</v>
      </c>
    </row>
    <row r="1902" spans="1:1" x14ac:dyDescent="0.2">
      <c r="A1902">
        <v>-4269.5081267001806</v>
      </c>
    </row>
    <row r="1903" spans="1:1" x14ac:dyDescent="0.2">
      <c r="A1903">
        <v>-7860.9641690250137</v>
      </c>
    </row>
    <row r="1904" spans="1:1" x14ac:dyDescent="0.2">
      <c r="A1904">
        <v>3876.4417394138582</v>
      </c>
    </row>
    <row r="1905" spans="1:1" x14ac:dyDescent="0.2">
      <c r="A1905">
        <v>3410.1840288725798</v>
      </c>
    </row>
    <row r="1906" spans="1:1" x14ac:dyDescent="0.2">
      <c r="A1906">
        <v>8607.8739195758535</v>
      </c>
    </row>
    <row r="1907" spans="1:1" x14ac:dyDescent="0.2">
      <c r="A1907">
        <v>-2748.6995270485349</v>
      </c>
    </row>
    <row r="1908" spans="1:1" x14ac:dyDescent="0.2">
      <c r="A1908">
        <v>3854.7831659076619</v>
      </c>
    </row>
    <row r="1909" spans="1:1" x14ac:dyDescent="0.2">
      <c r="A1909">
        <v>-15193.572318777093</v>
      </c>
    </row>
    <row r="1910" spans="1:1" x14ac:dyDescent="0.2">
      <c r="A1910">
        <v>5426.9722228132305</v>
      </c>
    </row>
    <row r="1911" spans="1:1" x14ac:dyDescent="0.2">
      <c r="A1911">
        <v>-1330.7656701039523</v>
      </c>
    </row>
    <row r="1912" spans="1:1" x14ac:dyDescent="0.2">
      <c r="A1912">
        <v>-5546.5994826029637</v>
      </c>
    </row>
    <row r="1913" spans="1:1" x14ac:dyDescent="0.2">
      <c r="A1913">
        <v>-1383.3439991649066</v>
      </c>
    </row>
    <row r="1914" spans="1:1" x14ac:dyDescent="0.2">
      <c r="A1914">
        <v>-8548.396410013258</v>
      </c>
    </row>
    <row r="1915" spans="1:1" x14ac:dyDescent="0.2">
      <c r="A1915">
        <v>20918.629051421332</v>
      </c>
    </row>
    <row r="1916" spans="1:1" x14ac:dyDescent="0.2">
      <c r="A1916">
        <v>-17003.222388209775</v>
      </c>
    </row>
    <row r="1917" spans="1:1" x14ac:dyDescent="0.2">
      <c r="A1917">
        <v>-1235.5234590733889</v>
      </c>
    </row>
    <row r="1918" spans="1:1" x14ac:dyDescent="0.2">
      <c r="A1918">
        <v>6227.7929273071932</v>
      </c>
    </row>
    <row r="1919" spans="1:1" x14ac:dyDescent="0.2">
      <c r="A1919">
        <v>7640.31319425744</v>
      </c>
    </row>
    <row r="1920" spans="1:1" x14ac:dyDescent="0.2">
      <c r="A1920">
        <v>-7728.0039059450792</v>
      </c>
    </row>
    <row r="1921" spans="1:1" x14ac:dyDescent="0.2">
      <c r="A1921">
        <v>8126.709009931481</v>
      </c>
    </row>
    <row r="1922" spans="1:1" x14ac:dyDescent="0.2">
      <c r="A1922">
        <v>-23633.074874896556</v>
      </c>
    </row>
    <row r="1923" spans="1:1" x14ac:dyDescent="0.2">
      <c r="A1923">
        <v>769.07210702938028</v>
      </c>
    </row>
    <row r="1924" spans="1:1" x14ac:dyDescent="0.2">
      <c r="A1924">
        <v>-3971.6232984070084</v>
      </c>
    </row>
    <row r="1925" spans="1:1" x14ac:dyDescent="0.2">
      <c r="A1925">
        <v>8192.2023945964174</v>
      </c>
    </row>
    <row r="1926" spans="1:1" x14ac:dyDescent="0.2">
      <c r="A1926">
        <v>5965.8321689342265</v>
      </c>
    </row>
    <row r="1927" spans="1:1" x14ac:dyDescent="0.2">
      <c r="A1927">
        <v>21911.307018611464</v>
      </c>
    </row>
    <row r="1928" spans="1:1" x14ac:dyDescent="0.2">
      <c r="A1928">
        <v>-1353.373980665463</v>
      </c>
    </row>
    <row r="1929" spans="1:1" x14ac:dyDescent="0.2">
      <c r="A1929">
        <v>1851.602363901824</v>
      </c>
    </row>
    <row r="1930" spans="1:1" x14ac:dyDescent="0.2">
      <c r="A1930">
        <v>-10083.130609735847</v>
      </c>
    </row>
    <row r="1931" spans="1:1" x14ac:dyDescent="0.2">
      <c r="A1931">
        <v>-18664.779223876831</v>
      </c>
    </row>
    <row r="1932" spans="1:1" x14ac:dyDescent="0.2">
      <c r="A1932">
        <v>-3660.572845991177</v>
      </c>
    </row>
    <row r="1933" spans="1:1" x14ac:dyDescent="0.2">
      <c r="A1933">
        <v>-9165.5651851022849</v>
      </c>
    </row>
    <row r="1934" spans="1:1" x14ac:dyDescent="0.2">
      <c r="A1934">
        <v>-2859.0215522317449</v>
      </c>
    </row>
    <row r="1935" spans="1:1" x14ac:dyDescent="0.2">
      <c r="A1935">
        <v>10720.874283950077</v>
      </c>
    </row>
    <row r="1936" spans="1:1" x14ac:dyDescent="0.2">
      <c r="A1936">
        <v>15281.971592134971</v>
      </c>
    </row>
    <row r="1937" spans="1:1" x14ac:dyDescent="0.2">
      <c r="A1937">
        <v>1806.2004606694973</v>
      </c>
    </row>
    <row r="1938" spans="1:1" x14ac:dyDescent="0.2">
      <c r="A1938">
        <v>6829.7065477336</v>
      </c>
    </row>
    <row r="1939" spans="1:1" x14ac:dyDescent="0.2">
      <c r="A1939">
        <v>5281.5442564577679</v>
      </c>
    </row>
    <row r="1940" spans="1:1" x14ac:dyDescent="0.2">
      <c r="A1940">
        <v>3611.0354825450922</v>
      </c>
    </row>
    <row r="1941" spans="1:1" x14ac:dyDescent="0.2">
      <c r="A1941">
        <v>2295.0931943556643</v>
      </c>
    </row>
    <row r="1942" spans="1:1" x14ac:dyDescent="0.2">
      <c r="A1942">
        <v>7524.4903829647228</v>
      </c>
    </row>
    <row r="1943" spans="1:1" x14ac:dyDescent="0.2">
      <c r="A1943">
        <v>-15287.414061595511</v>
      </c>
    </row>
    <row r="1944" spans="1:1" x14ac:dyDescent="0.2">
      <c r="A1944">
        <v>-15143.818715307862</v>
      </c>
    </row>
    <row r="1945" spans="1:1" x14ac:dyDescent="0.2">
      <c r="A1945">
        <v>253.44688951436547</v>
      </c>
    </row>
    <row r="1946" spans="1:1" x14ac:dyDescent="0.2">
      <c r="A1946">
        <v>760.35269506336772</v>
      </c>
    </row>
    <row r="1947" spans="1:1" x14ac:dyDescent="0.2">
      <c r="A1947">
        <v>20324.991737781849</v>
      </c>
    </row>
    <row r="1948" spans="1:1" x14ac:dyDescent="0.2">
      <c r="A1948">
        <v>-8422.1332869689795</v>
      </c>
    </row>
    <row r="1949" spans="1:1" x14ac:dyDescent="0.2">
      <c r="A1949">
        <v>15417.815310698992</v>
      </c>
    </row>
    <row r="1950" spans="1:1" x14ac:dyDescent="0.2">
      <c r="A1950">
        <v>902.67287504445994</v>
      </c>
    </row>
    <row r="1951" spans="1:1" x14ac:dyDescent="0.2">
      <c r="A1951">
        <v>2154.2545440344256</v>
      </c>
    </row>
    <row r="1952" spans="1:1" x14ac:dyDescent="0.2">
      <c r="A1952">
        <v>1969.036363402498</v>
      </c>
    </row>
    <row r="1953" spans="1:1" x14ac:dyDescent="0.2">
      <c r="A1953">
        <v>2899.5474118854618</v>
      </c>
    </row>
    <row r="1954" spans="1:1" x14ac:dyDescent="0.2">
      <c r="A1954">
        <v>-2196.6434692098119</v>
      </c>
    </row>
    <row r="1955" spans="1:1" x14ac:dyDescent="0.2">
      <c r="A1955">
        <v>5035.2637963435845</v>
      </c>
    </row>
    <row r="1956" spans="1:1" x14ac:dyDescent="0.2">
      <c r="A1956">
        <v>26041.473215513572</v>
      </c>
    </row>
    <row r="1957" spans="1:1" x14ac:dyDescent="0.2">
      <c r="A1957">
        <v>-6465.1489692277974</v>
      </c>
    </row>
    <row r="1958" spans="1:1" x14ac:dyDescent="0.2">
      <c r="A1958">
        <v>-1447.7490560722072</v>
      </c>
    </row>
    <row r="1959" spans="1:1" x14ac:dyDescent="0.2">
      <c r="A1959">
        <v>2732.3604270509095</v>
      </c>
    </row>
    <row r="1960" spans="1:1" x14ac:dyDescent="0.2">
      <c r="A1960">
        <v>-2714.3471242764499</v>
      </c>
    </row>
    <row r="1961" spans="1:1" x14ac:dyDescent="0.2">
      <c r="A1961">
        <v>-21856.890507272677</v>
      </c>
    </row>
    <row r="1962" spans="1:1" x14ac:dyDescent="0.2">
      <c r="A1962">
        <v>22716.235487299782</v>
      </c>
    </row>
    <row r="1963" spans="1:1" x14ac:dyDescent="0.2">
      <c r="A1963">
        <v>-1428.7558710878948</v>
      </c>
    </row>
    <row r="1964" spans="1:1" x14ac:dyDescent="0.2">
      <c r="A1964">
        <v>7813.0519189531915</v>
      </c>
    </row>
    <row r="1965" spans="1:1" x14ac:dyDescent="0.2">
      <c r="A1965">
        <v>-13344.252598948835</v>
      </c>
    </row>
    <row r="1966" spans="1:1" x14ac:dyDescent="0.2">
      <c r="A1966">
        <v>11975.958856425481</v>
      </c>
    </row>
    <row r="1967" spans="1:1" x14ac:dyDescent="0.2">
      <c r="A1967">
        <v>-6288.8181436575833</v>
      </c>
    </row>
    <row r="1968" spans="1:1" x14ac:dyDescent="0.2">
      <c r="A1968">
        <v>2650.0120901006158</v>
      </c>
    </row>
    <row r="1969" spans="1:1" x14ac:dyDescent="0.2">
      <c r="A1969">
        <v>4286.887835817528</v>
      </c>
    </row>
    <row r="1970" spans="1:1" x14ac:dyDescent="0.2">
      <c r="A1970">
        <v>-621.07472967065405</v>
      </c>
    </row>
    <row r="1971" spans="1:1" x14ac:dyDescent="0.2">
      <c r="A1971">
        <v>-4000.5860774267931</v>
      </c>
    </row>
    <row r="1972" spans="1:1" x14ac:dyDescent="0.2">
      <c r="A1972">
        <v>12500.389019156399</v>
      </c>
    </row>
    <row r="1973" spans="1:1" x14ac:dyDescent="0.2">
      <c r="A1973">
        <v>5499.5074623488181</v>
      </c>
    </row>
    <row r="1974" spans="1:1" x14ac:dyDescent="0.2">
      <c r="A1974">
        <v>8441.3779067769065</v>
      </c>
    </row>
    <row r="1975" spans="1:1" x14ac:dyDescent="0.2">
      <c r="A1975">
        <v>5069.89296925909</v>
      </c>
    </row>
    <row r="1976" spans="1:1" x14ac:dyDescent="0.2">
      <c r="A1976">
        <v>-3839.0083421445161</v>
      </c>
    </row>
    <row r="1977" spans="1:1" x14ac:dyDescent="0.2">
      <c r="A1977">
        <v>2929.2269753945875</v>
      </c>
    </row>
    <row r="1978" spans="1:1" x14ac:dyDescent="0.2">
      <c r="A1978">
        <v>6239.215360833914</v>
      </c>
    </row>
    <row r="1979" spans="1:1" x14ac:dyDescent="0.2">
      <c r="A1979">
        <v>3183.0291765652073</v>
      </c>
    </row>
    <row r="1980" spans="1:1" x14ac:dyDescent="0.2">
      <c r="A1980">
        <v>8286.2298907552613</v>
      </c>
    </row>
    <row r="1981" spans="1:1" x14ac:dyDescent="0.2">
      <c r="A1981">
        <v>9504.3708370249951</v>
      </c>
    </row>
    <row r="1982" spans="1:1" x14ac:dyDescent="0.2">
      <c r="A1982">
        <v>-11329.218569119927</v>
      </c>
    </row>
    <row r="1983" spans="1:1" x14ac:dyDescent="0.2">
      <c r="A1983">
        <v>4063.7225499885099</v>
      </c>
    </row>
    <row r="1984" spans="1:1" x14ac:dyDescent="0.2">
      <c r="A1984">
        <v>-11692.248997437331</v>
      </c>
    </row>
    <row r="1985" spans="1:1" x14ac:dyDescent="0.2">
      <c r="A1985">
        <v>7118.9780262532586</v>
      </c>
    </row>
    <row r="1986" spans="1:1" x14ac:dyDescent="0.2">
      <c r="A1986">
        <v>1151.275916121027</v>
      </c>
    </row>
    <row r="1987" spans="1:1" x14ac:dyDescent="0.2">
      <c r="A1987">
        <v>6784.4395111468621</v>
      </c>
    </row>
    <row r="1988" spans="1:1" x14ac:dyDescent="0.2">
      <c r="A1988">
        <v>12574.766683724592</v>
      </c>
    </row>
    <row r="1989" spans="1:1" x14ac:dyDescent="0.2">
      <c r="A1989">
        <v>-6203.2493253877037</v>
      </c>
    </row>
    <row r="1990" spans="1:1" x14ac:dyDescent="0.2">
      <c r="A1990">
        <v>-22658.623713475594</v>
      </c>
    </row>
    <row r="1991" spans="1:1" x14ac:dyDescent="0.2">
      <c r="A1991">
        <v>6207.9057601453387</v>
      </c>
    </row>
    <row r="1992" spans="1:1" x14ac:dyDescent="0.2">
      <c r="A1992">
        <v>11983.866924694652</v>
      </c>
    </row>
    <row r="1993" spans="1:1" x14ac:dyDescent="0.2">
      <c r="A1993">
        <v>-7148.6128288388427</v>
      </c>
    </row>
    <row r="1994" spans="1:1" x14ac:dyDescent="0.2">
      <c r="A1994">
        <v>9415.1293097840098</v>
      </c>
    </row>
    <row r="1995" spans="1:1" x14ac:dyDescent="0.2">
      <c r="A1995">
        <v>4737.4829371019732</v>
      </c>
    </row>
    <row r="1996" spans="1:1" x14ac:dyDescent="0.2">
      <c r="A1996">
        <v>-11455.45222356575</v>
      </c>
    </row>
    <row r="1997" spans="1:1" x14ac:dyDescent="0.2">
      <c r="A1997">
        <v>-16829.23651067703</v>
      </c>
    </row>
    <row r="1998" spans="1:1" x14ac:dyDescent="0.2">
      <c r="A1998">
        <v>7365.6984517816454</v>
      </c>
    </row>
    <row r="1999" spans="1:1" x14ac:dyDescent="0.2">
      <c r="A1999">
        <v>13804.076389209891</v>
      </c>
    </row>
    <row r="2000" spans="1:1" x14ac:dyDescent="0.2">
      <c r="A2000">
        <v>1783.6773453995993</v>
      </c>
    </row>
    <row r="2001" spans="1:1" x14ac:dyDescent="0.2">
      <c r="A2001">
        <v>7517.9297959460528</v>
      </c>
    </row>
    <row r="2002" spans="1:1" x14ac:dyDescent="0.2">
      <c r="A2002">
        <v>8976.2753382918308</v>
      </c>
    </row>
    <row r="2003" spans="1:1" x14ac:dyDescent="0.2">
      <c r="A2003">
        <v>3968.3299592260737</v>
      </c>
    </row>
    <row r="2004" spans="1:1" x14ac:dyDescent="0.2">
      <c r="A2004">
        <v>-15896.881893789861</v>
      </c>
    </row>
    <row r="2005" spans="1:1" x14ac:dyDescent="0.2">
      <c r="A2005">
        <v>13023.16898874467</v>
      </c>
    </row>
    <row r="2006" spans="1:1" x14ac:dyDescent="0.2">
      <c r="A2006">
        <v>-7397.440448182635</v>
      </c>
    </row>
    <row r="2007" spans="1:1" x14ac:dyDescent="0.2">
      <c r="A2007">
        <v>11844.045384677622</v>
      </c>
    </row>
    <row r="2008" spans="1:1" x14ac:dyDescent="0.2">
      <c r="A2008">
        <v>13016.422892722476</v>
      </c>
    </row>
    <row r="2009" spans="1:1" x14ac:dyDescent="0.2">
      <c r="A2009">
        <v>-17086.971474101301</v>
      </c>
    </row>
    <row r="2010" spans="1:1" x14ac:dyDescent="0.2">
      <c r="A2010">
        <v>14810.795434904576</v>
      </c>
    </row>
    <row r="2011" spans="1:1" x14ac:dyDescent="0.2">
      <c r="A2011">
        <v>-11066.237678889825</v>
      </c>
    </row>
    <row r="2012" spans="1:1" x14ac:dyDescent="0.2">
      <c r="A2012">
        <v>8740.7290898972133</v>
      </c>
    </row>
    <row r="2013" spans="1:1" x14ac:dyDescent="0.2">
      <c r="A2013">
        <v>16757.249132361729</v>
      </c>
    </row>
    <row r="2014" spans="1:1" x14ac:dyDescent="0.2">
      <c r="A2014">
        <v>813.74085571018804</v>
      </c>
    </row>
    <row r="2015" spans="1:1" x14ac:dyDescent="0.2">
      <c r="A2015">
        <v>4677.911374507763</v>
      </c>
    </row>
    <row r="2016" spans="1:1" x14ac:dyDescent="0.2">
      <c r="A2016">
        <v>-9563.8206974794157</v>
      </c>
    </row>
    <row r="2017" spans="1:1" x14ac:dyDescent="0.2">
      <c r="A2017">
        <v>4818.1667371875956</v>
      </c>
    </row>
    <row r="2018" spans="1:1" x14ac:dyDescent="0.2">
      <c r="A2018">
        <v>-12415.143700457062</v>
      </c>
    </row>
    <row r="2019" spans="1:1" x14ac:dyDescent="0.2">
      <c r="A2019">
        <v>11566.965970821155</v>
      </c>
    </row>
    <row r="2020" spans="1:1" x14ac:dyDescent="0.2">
      <c r="A2020">
        <v>-728.96712634767755</v>
      </c>
    </row>
    <row r="2021" spans="1:1" x14ac:dyDescent="0.2">
      <c r="A2021">
        <v>11207.418600204634</v>
      </c>
    </row>
    <row r="2022" spans="1:1" x14ac:dyDescent="0.2">
      <c r="A2022">
        <v>7510.0576684884145</v>
      </c>
    </row>
    <row r="2023" spans="1:1" x14ac:dyDescent="0.2">
      <c r="A2023">
        <v>3150.9465077236237</v>
      </c>
    </row>
    <row r="2024" spans="1:1" x14ac:dyDescent="0.2">
      <c r="A2024">
        <v>3514.1774334107467</v>
      </c>
    </row>
    <row r="2025" spans="1:1" x14ac:dyDescent="0.2">
      <c r="A2025">
        <v>-9995.8149151274702</v>
      </c>
    </row>
    <row r="2026" spans="1:1" x14ac:dyDescent="0.2">
      <c r="A2026">
        <v>-4145.7994337489072</v>
      </c>
    </row>
    <row r="2027" spans="1:1" x14ac:dyDescent="0.2">
      <c r="A2027">
        <v>1661.8796482981707</v>
      </c>
    </row>
    <row r="2028" spans="1:1" x14ac:dyDescent="0.2">
      <c r="A2028">
        <v>-6436.840085602249</v>
      </c>
    </row>
    <row r="2029" spans="1:1" x14ac:dyDescent="0.2">
      <c r="A2029">
        <v>5666.4369506074581</v>
      </c>
    </row>
    <row r="2030" spans="1:1" x14ac:dyDescent="0.2">
      <c r="A2030">
        <v>-2092.053386007261</v>
      </c>
    </row>
    <row r="2031" spans="1:1" x14ac:dyDescent="0.2">
      <c r="A2031">
        <v>6628.2398762161029</v>
      </c>
    </row>
    <row r="2032" spans="1:1" x14ac:dyDescent="0.2">
      <c r="A2032">
        <v>-1518.601039453788</v>
      </c>
    </row>
    <row r="2033" spans="1:1" x14ac:dyDescent="0.2">
      <c r="A2033">
        <v>2324.8662755485857</v>
      </c>
    </row>
    <row r="2034" spans="1:1" x14ac:dyDescent="0.2">
      <c r="A2034">
        <v>-1203.2476496330346</v>
      </c>
    </row>
    <row r="2035" spans="1:1" x14ac:dyDescent="0.2">
      <c r="A2035">
        <v>430.08423540252261</v>
      </c>
    </row>
    <row r="2036" spans="1:1" x14ac:dyDescent="0.2">
      <c r="A2036">
        <v>-2703.5840947646648</v>
      </c>
    </row>
    <row r="2037" spans="1:1" x14ac:dyDescent="0.2">
      <c r="A2037">
        <v>9140.5557733592868</v>
      </c>
    </row>
    <row r="2038" spans="1:1" x14ac:dyDescent="0.2">
      <c r="A2038">
        <v>-2289.6813547664788</v>
      </c>
    </row>
    <row r="2039" spans="1:1" x14ac:dyDescent="0.2">
      <c r="A2039">
        <v>5258.0190209456196</v>
      </c>
    </row>
    <row r="2040" spans="1:1" x14ac:dyDescent="0.2">
      <c r="A2040">
        <v>-1565.3502551963611</v>
      </c>
    </row>
    <row r="2041" spans="1:1" x14ac:dyDescent="0.2">
      <c r="A2041">
        <v>9858.7866929119045</v>
      </c>
    </row>
    <row r="2042" spans="1:1" x14ac:dyDescent="0.2">
      <c r="A2042">
        <v>-5655.8445143894351</v>
      </c>
    </row>
    <row r="2043" spans="1:1" x14ac:dyDescent="0.2">
      <c r="A2043">
        <v>9911.0192531727662</v>
      </c>
    </row>
    <row r="2044" spans="1:1" x14ac:dyDescent="0.2">
      <c r="A2044">
        <v>-3035.9611005512124</v>
      </c>
    </row>
    <row r="2045" spans="1:1" x14ac:dyDescent="0.2">
      <c r="A2045">
        <v>-1815.3658251481247</v>
      </c>
    </row>
    <row r="2046" spans="1:1" x14ac:dyDescent="0.2">
      <c r="A2046">
        <v>17935.053180828865</v>
      </c>
    </row>
    <row r="2047" spans="1:1" x14ac:dyDescent="0.2">
      <c r="A2047">
        <v>4652.4475695210567</v>
      </c>
    </row>
    <row r="2048" spans="1:1" x14ac:dyDescent="0.2">
      <c r="A2048">
        <v>-4768.9159971674671</v>
      </c>
    </row>
    <row r="2049" spans="1:1" x14ac:dyDescent="0.2">
      <c r="A2049">
        <v>7572.9699210365361</v>
      </c>
    </row>
    <row r="2050" spans="1:1" x14ac:dyDescent="0.2">
      <c r="A2050">
        <v>-959.29346991956118</v>
      </c>
    </row>
    <row r="2051" spans="1:1" x14ac:dyDescent="0.2">
      <c r="A2051">
        <v>-131.33295978608658</v>
      </c>
    </row>
    <row r="2052" spans="1:1" x14ac:dyDescent="0.2">
      <c r="A2052">
        <v>-4731.5137879427057</v>
      </c>
    </row>
    <row r="2053" spans="1:1" x14ac:dyDescent="0.2">
      <c r="A2053">
        <v>-8360.1333680131356</v>
      </c>
    </row>
    <row r="2054" spans="1:1" x14ac:dyDescent="0.2">
      <c r="A2054">
        <v>-11260.663588506868</v>
      </c>
    </row>
    <row r="2055" spans="1:1" x14ac:dyDescent="0.2">
      <c r="A2055">
        <v>360.09752860205481</v>
      </c>
    </row>
    <row r="2056" spans="1:1" x14ac:dyDescent="0.2">
      <c r="A2056">
        <v>1703.4816154061118</v>
      </c>
    </row>
    <row r="2057" spans="1:1" x14ac:dyDescent="0.2">
      <c r="A2057">
        <v>-9142.4110251003294</v>
      </c>
    </row>
    <row r="2058" spans="1:1" x14ac:dyDescent="0.2">
      <c r="A2058">
        <v>-10966.296722715662</v>
      </c>
    </row>
    <row r="2059" spans="1:1" x14ac:dyDescent="0.2">
      <c r="A2059">
        <v>13677.247206571919</v>
      </c>
    </row>
    <row r="2060" spans="1:1" x14ac:dyDescent="0.2">
      <c r="A2060">
        <v>7712.5175100360066</v>
      </c>
    </row>
    <row r="2061" spans="1:1" x14ac:dyDescent="0.2">
      <c r="A2061">
        <v>-117.300911637838</v>
      </c>
    </row>
    <row r="2062" spans="1:1" x14ac:dyDescent="0.2">
      <c r="A2062">
        <v>-10032.811068030773</v>
      </c>
    </row>
    <row r="2063" spans="1:1" x14ac:dyDescent="0.2">
      <c r="A2063">
        <v>-10902.944935152365</v>
      </c>
    </row>
    <row r="2064" spans="1:1" x14ac:dyDescent="0.2">
      <c r="A2064">
        <v>-67.443593352480093</v>
      </c>
    </row>
    <row r="2065" spans="1:1" x14ac:dyDescent="0.2">
      <c r="A2065">
        <v>-7811.8042569712416</v>
      </c>
    </row>
    <row r="2066" spans="1:1" x14ac:dyDescent="0.2">
      <c r="A2066">
        <v>11738.874600162148</v>
      </c>
    </row>
    <row r="2067" spans="1:1" x14ac:dyDescent="0.2">
      <c r="A2067">
        <v>-13358.187083257246</v>
      </c>
    </row>
    <row r="2068" spans="1:1" x14ac:dyDescent="0.2">
      <c r="A2068">
        <v>-1823.9923617923632</v>
      </c>
    </row>
    <row r="2069" spans="1:1" x14ac:dyDescent="0.2">
      <c r="A2069">
        <v>-8449.1834271736152</v>
      </c>
    </row>
    <row r="2070" spans="1:1" x14ac:dyDescent="0.2">
      <c r="A2070">
        <v>14312.750052968273</v>
      </c>
    </row>
    <row r="2071" spans="1:1" x14ac:dyDescent="0.2">
      <c r="A2071">
        <v>10508.968039899162</v>
      </c>
    </row>
    <row r="2072" spans="1:1" x14ac:dyDescent="0.2">
      <c r="A2072">
        <v>-3817.5357954380452</v>
      </c>
    </row>
    <row r="2073" spans="1:1" x14ac:dyDescent="0.2">
      <c r="A2073">
        <v>5269.5594789874158</v>
      </c>
    </row>
    <row r="2074" spans="1:1" x14ac:dyDescent="0.2">
      <c r="A2074">
        <v>4326.0237872294383</v>
      </c>
    </row>
    <row r="2075" spans="1:1" x14ac:dyDescent="0.2">
      <c r="A2075">
        <v>8817.8105144496076</v>
      </c>
    </row>
    <row r="2076" spans="1:1" x14ac:dyDescent="0.2">
      <c r="A2076">
        <v>14891.425019711809</v>
      </c>
    </row>
    <row r="2077" spans="1:1" x14ac:dyDescent="0.2">
      <c r="A2077">
        <v>11211.692625700263</v>
      </c>
    </row>
    <row r="2078" spans="1:1" x14ac:dyDescent="0.2">
      <c r="A2078">
        <v>7057.245864218974</v>
      </c>
    </row>
    <row r="2079" spans="1:1" x14ac:dyDescent="0.2">
      <c r="A2079">
        <v>7936.5827126344666</v>
      </c>
    </row>
    <row r="2080" spans="1:1" x14ac:dyDescent="0.2">
      <c r="A2080">
        <v>23378.122294597648</v>
      </c>
    </row>
    <row r="2081" spans="1:1" x14ac:dyDescent="0.2">
      <c r="A2081">
        <v>414.93025449034758</v>
      </c>
    </row>
    <row r="2082" spans="1:1" x14ac:dyDescent="0.2">
      <c r="A2082">
        <v>-7089.8842033115507</v>
      </c>
    </row>
    <row r="2083" spans="1:1" x14ac:dyDescent="0.2">
      <c r="A2083">
        <v>9589.6308333466295</v>
      </c>
    </row>
    <row r="2084" spans="1:1" x14ac:dyDescent="0.2">
      <c r="A2084">
        <v>-917.88375311339041</v>
      </c>
    </row>
    <row r="2085" spans="1:1" x14ac:dyDescent="0.2">
      <c r="A2085">
        <v>9276.4880107385106</v>
      </c>
    </row>
    <row r="2086" spans="1:1" x14ac:dyDescent="0.2">
      <c r="A2086">
        <v>3528.8051951438538</v>
      </c>
    </row>
    <row r="2087" spans="1:1" x14ac:dyDescent="0.2">
      <c r="A2087">
        <v>3378.1123962618876</v>
      </c>
    </row>
    <row r="2088" spans="1:1" x14ac:dyDescent="0.2">
      <c r="A2088">
        <v>13990.763810671066</v>
      </c>
    </row>
    <row r="2089" spans="1:1" x14ac:dyDescent="0.2">
      <c r="A2089">
        <v>8232.8531759517209</v>
      </c>
    </row>
    <row r="2090" spans="1:1" x14ac:dyDescent="0.2">
      <c r="A2090">
        <v>10169.619884587708</v>
      </c>
    </row>
    <row r="2091" spans="1:1" x14ac:dyDescent="0.2">
      <c r="A2091">
        <v>-4985.6895600159478</v>
      </c>
    </row>
    <row r="2092" spans="1:1" x14ac:dyDescent="0.2">
      <c r="A2092">
        <v>381.86383048311109</v>
      </c>
    </row>
    <row r="2093" spans="1:1" x14ac:dyDescent="0.2">
      <c r="A2093">
        <v>5647.741074643418</v>
      </c>
    </row>
    <row r="2094" spans="1:1" x14ac:dyDescent="0.2">
      <c r="A2094">
        <v>3434.5992504092283</v>
      </c>
    </row>
    <row r="2095" spans="1:1" x14ac:dyDescent="0.2">
      <c r="A2095">
        <v>5348.9885003419477</v>
      </c>
    </row>
    <row r="2096" spans="1:1" x14ac:dyDescent="0.2">
      <c r="A2096">
        <v>4410.2058826483844</v>
      </c>
    </row>
    <row r="2097" spans="1:1" x14ac:dyDescent="0.2">
      <c r="A2097">
        <v>11677.149504708534</v>
      </c>
    </row>
    <row r="2098" spans="1:1" x14ac:dyDescent="0.2">
      <c r="A2098">
        <v>11852.854236843181</v>
      </c>
    </row>
    <row r="2099" spans="1:1" x14ac:dyDescent="0.2">
      <c r="A2099">
        <v>-8093.5208383109421</v>
      </c>
    </row>
    <row r="2100" spans="1:1" x14ac:dyDescent="0.2">
      <c r="A2100">
        <v>-2173.9386738552712</v>
      </c>
    </row>
    <row r="2101" spans="1:1" x14ac:dyDescent="0.2">
      <c r="A2101">
        <v>-13570.787078115158</v>
      </c>
    </row>
    <row r="2102" spans="1:1" x14ac:dyDescent="0.2">
      <c r="A2102">
        <v>-3476.1212318371981</v>
      </c>
    </row>
    <row r="2103" spans="1:1" x14ac:dyDescent="0.2">
      <c r="A2103">
        <v>2160.571555931092</v>
      </c>
    </row>
    <row r="2104" spans="1:1" x14ac:dyDescent="0.2">
      <c r="A2104">
        <v>11003.31880585727</v>
      </c>
    </row>
    <row r="2105" spans="1:1" x14ac:dyDescent="0.2">
      <c r="A2105">
        <v>-3523.7182739319687</v>
      </c>
    </row>
    <row r="2106" spans="1:1" x14ac:dyDescent="0.2">
      <c r="A2106">
        <v>4961.5858006137714</v>
      </c>
    </row>
    <row r="2107" spans="1:1" x14ac:dyDescent="0.2">
      <c r="A2107">
        <v>7142.0254423211736</v>
      </c>
    </row>
    <row r="2108" spans="1:1" x14ac:dyDescent="0.2">
      <c r="A2108">
        <v>22398.949990440102</v>
      </c>
    </row>
    <row r="2109" spans="1:1" x14ac:dyDescent="0.2">
      <c r="A2109">
        <v>-4039.7286189215956</v>
      </c>
    </row>
    <row r="2110" spans="1:1" x14ac:dyDescent="0.2">
      <c r="A2110">
        <v>5904.7559771005763</v>
      </c>
    </row>
    <row r="2111" spans="1:1" x14ac:dyDescent="0.2">
      <c r="A2111">
        <v>11424.630984155709</v>
      </c>
    </row>
    <row r="2112" spans="1:1" x14ac:dyDescent="0.2">
      <c r="A2112">
        <v>-8654.8839090125693</v>
      </c>
    </row>
    <row r="2113" spans="1:1" x14ac:dyDescent="0.2">
      <c r="A2113">
        <v>-8262.3412128194468</v>
      </c>
    </row>
    <row r="2114" spans="1:1" x14ac:dyDescent="0.2">
      <c r="A2114">
        <v>4843.3690415442979</v>
      </c>
    </row>
    <row r="2115" spans="1:1" x14ac:dyDescent="0.2">
      <c r="A2115">
        <v>-3203.2500868758943</v>
      </c>
    </row>
    <row r="2116" spans="1:1" x14ac:dyDescent="0.2">
      <c r="A2116">
        <v>12601.466242543916</v>
      </c>
    </row>
    <row r="2117" spans="1:1" x14ac:dyDescent="0.2">
      <c r="A2117">
        <v>3423.9934275176201</v>
      </c>
    </row>
    <row r="2118" spans="1:1" x14ac:dyDescent="0.2">
      <c r="A2118">
        <v>9444.4958153331536</v>
      </c>
    </row>
    <row r="2119" spans="1:1" x14ac:dyDescent="0.2">
      <c r="A2119">
        <v>-7043.4224197836011</v>
      </c>
    </row>
    <row r="2120" spans="1:1" x14ac:dyDescent="0.2">
      <c r="A2120">
        <v>-8905.4067483913968</v>
      </c>
    </row>
    <row r="2121" spans="1:1" x14ac:dyDescent="0.2">
      <c r="A2121">
        <v>3187.4474852922722</v>
      </c>
    </row>
    <row r="2122" spans="1:1" x14ac:dyDescent="0.2">
      <c r="A2122">
        <v>20732.29212989744</v>
      </c>
    </row>
    <row r="2123" spans="1:1" x14ac:dyDescent="0.2">
      <c r="A2123">
        <v>3557.08032400909</v>
      </c>
    </row>
    <row r="2124" spans="1:1" x14ac:dyDescent="0.2">
      <c r="A2124">
        <v>1442.1729702378507</v>
      </c>
    </row>
    <row r="2125" spans="1:1" x14ac:dyDescent="0.2">
      <c r="A2125">
        <v>10270.534098809207</v>
      </c>
    </row>
    <row r="2126" spans="1:1" x14ac:dyDescent="0.2">
      <c r="A2126">
        <v>12587.02352904476</v>
      </c>
    </row>
    <row r="2127" spans="1:1" x14ac:dyDescent="0.2">
      <c r="A2127">
        <v>388.2471716060827</v>
      </c>
    </row>
    <row r="2128" spans="1:1" x14ac:dyDescent="0.2">
      <c r="A2128">
        <v>2986.0713368040451</v>
      </c>
    </row>
    <row r="2129" spans="1:1" x14ac:dyDescent="0.2">
      <c r="A2129">
        <v>-24289.320209196245</v>
      </c>
    </row>
    <row r="2130" spans="1:1" x14ac:dyDescent="0.2">
      <c r="A2130">
        <v>8644.8033456027624</v>
      </c>
    </row>
    <row r="2131" spans="1:1" x14ac:dyDescent="0.2">
      <c r="A2131">
        <v>3307.5033488279441</v>
      </c>
    </row>
    <row r="2132" spans="1:1" x14ac:dyDescent="0.2">
      <c r="A2132">
        <v>-5149.8710748697922</v>
      </c>
    </row>
    <row r="2133" spans="1:1" x14ac:dyDescent="0.2">
      <c r="A2133">
        <v>10999.570311634277</v>
      </c>
    </row>
    <row r="2134" spans="1:1" x14ac:dyDescent="0.2">
      <c r="A2134">
        <v>-6648.9849971368676</v>
      </c>
    </row>
    <row r="2135" spans="1:1" x14ac:dyDescent="0.2">
      <c r="A2135">
        <v>-489.69088553352049</v>
      </c>
    </row>
    <row r="2136" spans="1:1" x14ac:dyDescent="0.2">
      <c r="A2136">
        <v>1427.7160240365774</v>
      </c>
    </row>
    <row r="2137" spans="1:1" x14ac:dyDescent="0.2">
      <c r="A2137">
        <v>7023.0600846466841</v>
      </c>
    </row>
    <row r="2138" spans="1:1" x14ac:dyDescent="0.2">
      <c r="A2138">
        <v>-22520.912432294572</v>
      </c>
    </row>
    <row r="2139" spans="1:1" x14ac:dyDescent="0.2">
      <c r="A2139">
        <v>11595.511700294272</v>
      </c>
    </row>
    <row r="2140" spans="1:1" x14ac:dyDescent="0.2">
      <c r="A2140">
        <v>206.40149706526427</v>
      </c>
    </row>
    <row r="2141" spans="1:1" x14ac:dyDescent="0.2">
      <c r="A2141">
        <v>-6815.1986431072582</v>
      </c>
    </row>
    <row r="2142" spans="1:1" x14ac:dyDescent="0.2">
      <c r="A2142">
        <v>5873.1247143143846</v>
      </c>
    </row>
    <row r="2143" spans="1:1" x14ac:dyDescent="0.2">
      <c r="A2143">
        <v>-26.20520856778603</v>
      </c>
    </row>
    <row r="2144" spans="1:1" x14ac:dyDescent="0.2">
      <c r="A2144">
        <v>-677.96081397170201</v>
      </c>
    </row>
    <row r="2145" spans="1:1" x14ac:dyDescent="0.2">
      <c r="A2145">
        <v>6033.759311185102</v>
      </c>
    </row>
    <row r="2146" spans="1:1" x14ac:dyDescent="0.2">
      <c r="A2146">
        <v>-9207.69632205792</v>
      </c>
    </row>
    <row r="2147" spans="1:1" x14ac:dyDescent="0.2">
      <c r="A2147">
        <v>3580.8929793075658</v>
      </c>
    </row>
    <row r="2148" spans="1:1" x14ac:dyDescent="0.2">
      <c r="A2148">
        <v>-3224.8498341201921</v>
      </c>
    </row>
    <row r="2149" spans="1:1" x14ac:dyDescent="0.2">
      <c r="A2149">
        <v>-21551.073915895133</v>
      </c>
    </row>
    <row r="2150" spans="1:1" x14ac:dyDescent="0.2">
      <c r="A2150">
        <v>3251.5951596361992</v>
      </c>
    </row>
    <row r="2151" spans="1:1" x14ac:dyDescent="0.2">
      <c r="A2151">
        <v>2858.0921672127151</v>
      </c>
    </row>
    <row r="2152" spans="1:1" x14ac:dyDescent="0.2">
      <c r="A2152">
        <v>6248.0334885295306</v>
      </c>
    </row>
    <row r="2153" spans="1:1" x14ac:dyDescent="0.2">
      <c r="A2153">
        <v>118.66004793759203</v>
      </c>
    </row>
    <row r="2154" spans="1:1" x14ac:dyDescent="0.2">
      <c r="A2154">
        <v>5322.6709095890983</v>
      </c>
    </row>
    <row r="2155" spans="1:1" x14ac:dyDescent="0.2">
      <c r="A2155">
        <v>2680.5583119391231</v>
      </c>
    </row>
    <row r="2156" spans="1:1" x14ac:dyDescent="0.2">
      <c r="A2156">
        <v>7276.9544084582594</v>
      </c>
    </row>
    <row r="2157" spans="1:1" x14ac:dyDescent="0.2">
      <c r="A2157">
        <v>-9302.1510950589436</v>
      </c>
    </row>
    <row r="2158" spans="1:1" x14ac:dyDescent="0.2">
      <c r="A2158">
        <v>-12565.683656344685</v>
      </c>
    </row>
    <row r="2159" spans="1:1" x14ac:dyDescent="0.2">
      <c r="A2159">
        <v>12251.875817338179</v>
      </c>
    </row>
    <row r="2160" spans="1:1" x14ac:dyDescent="0.2">
      <c r="A2160">
        <v>1887.4890786127653</v>
      </c>
    </row>
    <row r="2161" spans="1:1" x14ac:dyDescent="0.2">
      <c r="A2161">
        <v>-2529.5889883676427</v>
      </c>
    </row>
    <row r="2162" spans="1:1" x14ac:dyDescent="0.2">
      <c r="A2162">
        <v>8671.7568500217749</v>
      </c>
    </row>
    <row r="2163" spans="1:1" x14ac:dyDescent="0.2">
      <c r="A2163">
        <v>-8288.2683762990346</v>
      </c>
    </row>
    <row r="2164" spans="1:1" x14ac:dyDescent="0.2">
      <c r="A2164">
        <v>-4338.1975460110698</v>
      </c>
    </row>
    <row r="2165" spans="1:1" x14ac:dyDescent="0.2">
      <c r="A2165">
        <v>1757.4621344396728</v>
      </c>
    </row>
    <row r="2166" spans="1:1" x14ac:dyDescent="0.2">
      <c r="A2166">
        <v>2186.2591088401969</v>
      </c>
    </row>
    <row r="2167" spans="1:1" x14ac:dyDescent="0.2">
      <c r="A2167">
        <v>1293.3373942075996</v>
      </c>
    </row>
    <row r="2168" spans="1:1" x14ac:dyDescent="0.2">
      <c r="A2168">
        <v>23836.939128940314</v>
      </c>
    </row>
    <row r="2169" spans="1:1" x14ac:dyDescent="0.2">
      <c r="A2169">
        <v>-6306.6129215390538</v>
      </c>
    </row>
    <row r="2170" spans="1:1" x14ac:dyDescent="0.2">
      <c r="A2170">
        <v>9286.3730455688201</v>
      </c>
    </row>
    <row r="2171" spans="1:1" x14ac:dyDescent="0.2">
      <c r="A2171">
        <v>-157.24222296231892</v>
      </c>
    </row>
    <row r="2172" spans="1:1" x14ac:dyDescent="0.2">
      <c r="A2172">
        <v>-5622.2627623691806</v>
      </c>
    </row>
    <row r="2173" spans="1:1" x14ac:dyDescent="0.2">
      <c r="A2173">
        <v>10363.311416012933</v>
      </c>
    </row>
    <row r="2174" spans="1:1" x14ac:dyDescent="0.2">
      <c r="A2174">
        <v>-1838.0231588280876</v>
      </c>
    </row>
    <row r="2175" spans="1:1" x14ac:dyDescent="0.2">
      <c r="A2175">
        <v>3664.3964236946485</v>
      </c>
    </row>
    <row r="2176" spans="1:1" x14ac:dyDescent="0.2">
      <c r="A2176">
        <v>-15630.262535504124</v>
      </c>
    </row>
    <row r="2177" spans="1:1" x14ac:dyDescent="0.2">
      <c r="A2177">
        <v>-8282.7952675730921</v>
      </c>
    </row>
    <row r="2178" spans="1:1" x14ac:dyDescent="0.2">
      <c r="A2178">
        <v>1381.6217733570957</v>
      </c>
    </row>
    <row r="2179" spans="1:1" x14ac:dyDescent="0.2">
      <c r="A2179">
        <v>-4111.1642301802931</v>
      </c>
    </row>
    <row r="2180" spans="1:1" x14ac:dyDescent="0.2">
      <c r="A2180">
        <v>13632.658906788216</v>
      </c>
    </row>
    <row r="2181" spans="1:1" x14ac:dyDescent="0.2">
      <c r="A2181">
        <v>-1035.1356987592881</v>
      </c>
    </row>
    <row r="2182" spans="1:1" x14ac:dyDescent="0.2">
      <c r="A2182">
        <v>16368.788276149688</v>
      </c>
    </row>
    <row r="2183" spans="1:1" x14ac:dyDescent="0.2">
      <c r="A2183">
        <v>-4056.7472392267664</v>
      </c>
    </row>
    <row r="2184" spans="1:1" x14ac:dyDescent="0.2">
      <c r="A2184">
        <v>3766.9848931310116</v>
      </c>
    </row>
    <row r="2185" spans="1:1" x14ac:dyDescent="0.2">
      <c r="A2185">
        <v>-7046.4565876264824</v>
      </c>
    </row>
    <row r="2186" spans="1:1" x14ac:dyDescent="0.2">
      <c r="A2186">
        <v>6493.4780751591315</v>
      </c>
    </row>
    <row r="2187" spans="1:1" x14ac:dyDescent="0.2">
      <c r="A2187">
        <v>-9412.714625780427</v>
      </c>
    </row>
    <row r="2188" spans="1:1" x14ac:dyDescent="0.2">
      <c r="A2188">
        <v>7432.4428717171249</v>
      </c>
    </row>
    <row r="2189" spans="1:1" x14ac:dyDescent="0.2">
      <c r="A2189">
        <v>8772.3550385654671</v>
      </c>
    </row>
    <row r="2190" spans="1:1" x14ac:dyDescent="0.2">
      <c r="A2190">
        <v>-8584.1964944740757</v>
      </c>
    </row>
    <row r="2191" spans="1:1" x14ac:dyDescent="0.2">
      <c r="A2191">
        <v>2730.01871887999</v>
      </c>
    </row>
    <row r="2192" spans="1:1" x14ac:dyDescent="0.2">
      <c r="A2192">
        <v>2156.4196224281914</v>
      </c>
    </row>
    <row r="2193" spans="1:1" x14ac:dyDescent="0.2">
      <c r="A2193">
        <v>-743.76407242659479</v>
      </c>
    </row>
    <row r="2194" spans="1:1" x14ac:dyDescent="0.2">
      <c r="A2194">
        <v>10586.314853554708</v>
      </c>
    </row>
    <row r="2195" spans="1:1" x14ac:dyDescent="0.2">
      <c r="A2195">
        <v>-6421.3455630343524</v>
      </c>
    </row>
    <row r="2196" spans="1:1" x14ac:dyDescent="0.2">
      <c r="A2196">
        <v>9898.77949750275</v>
      </c>
    </row>
    <row r="2197" spans="1:1" x14ac:dyDescent="0.2">
      <c r="A2197">
        <v>-10450.005699400208</v>
      </c>
    </row>
    <row r="2198" spans="1:1" x14ac:dyDescent="0.2">
      <c r="A2198">
        <v>-1553.0528504168615</v>
      </c>
    </row>
    <row r="2199" spans="1:1" x14ac:dyDescent="0.2">
      <c r="A2199">
        <v>8531.2295639846416</v>
      </c>
    </row>
    <row r="2200" spans="1:1" x14ac:dyDescent="0.2">
      <c r="A2200">
        <v>4738.09528110479</v>
      </c>
    </row>
    <row r="2201" spans="1:1" x14ac:dyDescent="0.2">
      <c r="A2201">
        <v>-14010.882452814316</v>
      </c>
    </row>
    <row r="2202" spans="1:1" x14ac:dyDescent="0.2">
      <c r="A2202">
        <v>-12516.839793109335</v>
      </c>
    </row>
    <row r="2203" spans="1:1" x14ac:dyDescent="0.2">
      <c r="A2203">
        <v>-17397.143480511731</v>
      </c>
    </row>
    <row r="2204" spans="1:1" x14ac:dyDescent="0.2">
      <c r="A2204">
        <v>7549.8658993020654</v>
      </c>
    </row>
    <row r="2205" spans="1:1" x14ac:dyDescent="0.2">
      <c r="A2205">
        <v>4478.5862934337929</v>
      </c>
    </row>
    <row r="2206" spans="1:1" x14ac:dyDescent="0.2">
      <c r="A2206">
        <v>-22077.615970289276</v>
      </c>
    </row>
    <row r="2207" spans="1:1" x14ac:dyDescent="0.2">
      <c r="A2207">
        <v>1129.558544540545</v>
      </c>
    </row>
    <row r="2208" spans="1:1" x14ac:dyDescent="0.2">
      <c r="A2208">
        <v>-2259.734448531206</v>
      </c>
    </row>
    <row r="2209" spans="1:1" x14ac:dyDescent="0.2">
      <c r="A2209">
        <v>9892.653574776079</v>
      </c>
    </row>
    <row r="2210" spans="1:1" x14ac:dyDescent="0.2">
      <c r="A2210">
        <v>-4.5236170357675292</v>
      </c>
    </row>
    <row r="2211" spans="1:1" x14ac:dyDescent="0.2">
      <c r="A2211">
        <v>5630.7295590176946</v>
      </c>
    </row>
    <row r="2212" spans="1:1" x14ac:dyDescent="0.2">
      <c r="A2212">
        <v>337.83603291082545</v>
      </c>
    </row>
    <row r="2213" spans="1:1" x14ac:dyDescent="0.2">
      <c r="A2213">
        <v>-410.45144132105634</v>
      </c>
    </row>
    <row r="2214" spans="1:1" x14ac:dyDescent="0.2">
      <c r="A2214">
        <v>-24728.339557638217</v>
      </c>
    </row>
    <row r="2215" spans="1:1" x14ac:dyDescent="0.2">
      <c r="A2215">
        <v>5431.7861381273251</v>
      </c>
    </row>
    <row r="2216" spans="1:1" x14ac:dyDescent="0.2">
      <c r="A2216">
        <v>-21731.660925735312</v>
      </c>
    </row>
    <row r="2217" spans="1:1" x14ac:dyDescent="0.2">
      <c r="A2217">
        <v>-3619.0544393965392</v>
      </c>
    </row>
    <row r="2218" spans="1:1" x14ac:dyDescent="0.2">
      <c r="A2218">
        <v>1814.2937172180973</v>
      </c>
    </row>
    <row r="2219" spans="1:1" x14ac:dyDescent="0.2">
      <c r="A2219">
        <v>-8221.1157132071094</v>
      </c>
    </row>
    <row r="2220" spans="1:1" x14ac:dyDescent="0.2">
      <c r="A2220">
        <v>8022.1686474994349</v>
      </c>
    </row>
    <row r="2221" spans="1:1" x14ac:dyDescent="0.2">
      <c r="A2221">
        <v>8723.8780052264337</v>
      </c>
    </row>
    <row r="2222" spans="1:1" x14ac:dyDescent="0.2">
      <c r="A2222">
        <v>15065.609707642812</v>
      </c>
    </row>
    <row r="2223" spans="1:1" x14ac:dyDescent="0.2">
      <c r="A2223">
        <v>-12367.239367660397</v>
      </c>
    </row>
    <row r="2224" spans="1:1" x14ac:dyDescent="0.2">
      <c r="A2224">
        <v>-2580.3166588135937</v>
      </c>
    </row>
    <row r="2225" spans="1:1" x14ac:dyDescent="0.2">
      <c r="A2225">
        <v>10678.490779615997</v>
      </c>
    </row>
    <row r="2226" spans="1:1" x14ac:dyDescent="0.2">
      <c r="A2226">
        <v>-10392.042810414045</v>
      </c>
    </row>
    <row r="2227" spans="1:1" x14ac:dyDescent="0.2">
      <c r="A2227">
        <v>-5450.677640614449</v>
      </c>
    </row>
    <row r="2228" spans="1:1" x14ac:dyDescent="0.2">
      <c r="A2228">
        <v>7325.5750799441885</v>
      </c>
    </row>
    <row r="2229" spans="1:1" x14ac:dyDescent="0.2">
      <c r="A2229">
        <v>1740.6953053181642</v>
      </c>
    </row>
    <row r="2230" spans="1:1" x14ac:dyDescent="0.2">
      <c r="A2230">
        <v>2888.2732953960076</v>
      </c>
    </row>
    <row r="2231" spans="1:1" x14ac:dyDescent="0.2">
      <c r="A2231">
        <v>25106.611946528254</v>
      </c>
    </row>
    <row r="2232" spans="1:1" x14ac:dyDescent="0.2">
      <c r="A2232">
        <v>3860.81514382764</v>
      </c>
    </row>
    <row r="2233" spans="1:1" x14ac:dyDescent="0.2">
      <c r="A2233">
        <v>-11098.273961476691</v>
      </c>
    </row>
    <row r="2234" spans="1:1" x14ac:dyDescent="0.2">
      <c r="A2234">
        <v>802.8168379329145</v>
      </c>
    </row>
    <row r="2235" spans="1:1" x14ac:dyDescent="0.2">
      <c r="A2235">
        <v>-9111.1005401492584</v>
      </c>
    </row>
    <row r="2236" spans="1:1" x14ac:dyDescent="0.2">
      <c r="A2236">
        <v>-3901.1487394568394</v>
      </c>
    </row>
    <row r="2237" spans="1:1" x14ac:dyDescent="0.2">
      <c r="A2237">
        <v>-6568.896578348882</v>
      </c>
    </row>
    <row r="2238" spans="1:1" x14ac:dyDescent="0.2">
      <c r="A2238">
        <v>-8752.144312766497</v>
      </c>
    </row>
    <row r="2239" spans="1:1" x14ac:dyDescent="0.2">
      <c r="A2239">
        <v>17770.2347405646</v>
      </c>
    </row>
    <row r="2240" spans="1:1" x14ac:dyDescent="0.2">
      <c r="A2240">
        <v>8320.3369184079347</v>
      </c>
    </row>
    <row r="2241" spans="1:1" x14ac:dyDescent="0.2">
      <c r="A2241">
        <v>-1796.0927256899886</v>
      </c>
    </row>
    <row r="2242" spans="1:1" x14ac:dyDescent="0.2">
      <c r="A2242">
        <v>-16583.100139691087</v>
      </c>
    </row>
    <row r="2243" spans="1:1" x14ac:dyDescent="0.2">
      <c r="A2243">
        <v>5242.8304551763576</v>
      </c>
    </row>
    <row r="2244" spans="1:1" x14ac:dyDescent="0.2">
      <c r="A2244">
        <v>-254.73159601117368</v>
      </c>
    </row>
    <row r="2245" spans="1:1" x14ac:dyDescent="0.2">
      <c r="A2245">
        <v>-3272.9959838366485</v>
      </c>
    </row>
    <row r="2246" spans="1:1" x14ac:dyDescent="0.2">
      <c r="A2246">
        <v>-10132.705468060361</v>
      </c>
    </row>
    <row r="2247" spans="1:1" x14ac:dyDescent="0.2">
      <c r="A2247">
        <v>10109.636246198439</v>
      </c>
    </row>
    <row r="2248" spans="1:1" x14ac:dyDescent="0.2">
      <c r="A2248">
        <v>-10054.653138437017</v>
      </c>
    </row>
    <row r="2249" spans="1:1" x14ac:dyDescent="0.2">
      <c r="A2249">
        <v>-1088.2361449885648</v>
      </c>
    </row>
    <row r="2250" spans="1:1" x14ac:dyDescent="0.2">
      <c r="A2250">
        <v>-340.15502690445282</v>
      </c>
    </row>
    <row r="2251" spans="1:1" x14ac:dyDescent="0.2">
      <c r="A2251">
        <v>16498.145783596075</v>
      </c>
    </row>
    <row r="2252" spans="1:1" x14ac:dyDescent="0.2">
      <c r="A2252">
        <v>-13867.876205213659</v>
      </c>
    </row>
    <row r="2253" spans="1:1" x14ac:dyDescent="0.2">
      <c r="A2253">
        <v>-2970.5231163747085</v>
      </c>
    </row>
    <row r="2254" spans="1:1" x14ac:dyDescent="0.2">
      <c r="A2254">
        <v>8574.1018718183332</v>
      </c>
    </row>
    <row r="2255" spans="1:1" x14ac:dyDescent="0.2">
      <c r="A2255">
        <v>4107.6073138526408</v>
      </c>
    </row>
    <row r="2256" spans="1:1" x14ac:dyDescent="0.2">
      <c r="A2256">
        <v>5545.8479864250403</v>
      </c>
    </row>
    <row r="2257" spans="1:1" x14ac:dyDescent="0.2">
      <c r="A2257">
        <v>1181.3928850198863</v>
      </c>
    </row>
    <row r="2258" spans="1:1" x14ac:dyDescent="0.2">
      <c r="A2258">
        <v>-4811.8714052523719</v>
      </c>
    </row>
    <row r="2259" spans="1:1" x14ac:dyDescent="0.2">
      <c r="A2259">
        <v>-7624.8614555384847</v>
      </c>
    </row>
    <row r="2260" spans="1:1" x14ac:dyDescent="0.2">
      <c r="A2260">
        <v>3607.1845878818713</v>
      </c>
    </row>
    <row r="2261" spans="1:1" x14ac:dyDescent="0.2">
      <c r="A2261">
        <v>4385.3961803674465</v>
      </c>
    </row>
    <row r="2262" spans="1:1" x14ac:dyDescent="0.2">
      <c r="A2262">
        <v>1976.3383793492976</v>
      </c>
    </row>
    <row r="2263" spans="1:1" x14ac:dyDescent="0.2">
      <c r="A2263">
        <v>7667.3441753336083</v>
      </c>
    </row>
    <row r="2264" spans="1:1" x14ac:dyDescent="0.2">
      <c r="A2264">
        <v>4657.7071827387845</v>
      </c>
    </row>
    <row r="2265" spans="1:1" x14ac:dyDescent="0.2">
      <c r="A2265">
        <v>-1356.6014120531036</v>
      </c>
    </row>
    <row r="2266" spans="1:1" x14ac:dyDescent="0.2">
      <c r="A2266">
        <v>-3217.5877839315799</v>
      </c>
    </row>
    <row r="2267" spans="1:1" x14ac:dyDescent="0.2">
      <c r="A2267">
        <v>-6873.7826758769224</v>
      </c>
    </row>
    <row r="2268" spans="1:1" x14ac:dyDescent="0.2">
      <c r="A2268">
        <v>12514.837633499643</v>
      </c>
    </row>
    <row r="2269" spans="1:1" x14ac:dyDescent="0.2">
      <c r="A2269">
        <v>10955.362942209234</v>
      </c>
    </row>
    <row r="2270" spans="1:1" x14ac:dyDescent="0.2">
      <c r="A2270">
        <v>-655.24688877980225</v>
      </c>
    </row>
    <row r="2271" spans="1:1" x14ac:dyDescent="0.2">
      <c r="A2271">
        <v>11747.449848490302</v>
      </c>
    </row>
    <row r="2272" spans="1:1" x14ac:dyDescent="0.2">
      <c r="A2272">
        <v>4309.8229899510043</v>
      </c>
    </row>
    <row r="2273" spans="1:1" x14ac:dyDescent="0.2">
      <c r="A2273">
        <v>-14814.943358702585</v>
      </c>
    </row>
    <row r="2274" spans="1:1" x14ac:dyDescent="0.2">
      <c r="A2274">
        <v>4379.4945884521876</v>
      </c>
    </row>
    <row r="2275" spans="1:1" x14ac:dyDescent="0.2">
      <c r="A2275">
        <v>-14629.939452118124</v>
      </c>
    </row>
    <row r="2276" spans="1:1" x14ac:dyDescent="0.2">
      <c r="A2276">
        <v>6822.6644962840364</v>
      </c>
    </row>
    <row r="2277" spans="1:1" x14ac:dyDescent="0.2">
      <c r="A2277">
        <v>12281.433183216112</v>
      </c>
    </row>
    <row r="2278" spans="1:1" x14ac:dyDescent="0.2">
      <c r="A2278">
        <v>-3890.6876122979156</v>
      </c>
    </row>
    <row r="2279" spans="1:1" x14ac:dyDescent="0.2">
      <c r="A2279">
        <v>2328.2378411279642</v>
      </c>
    </row>
    <row r="2280" spans="1:1" x14ac:dyDescent="0.2">
      <c r="A2280">
        <v>4300.2153605683416</v>
      </c>
    </row>
    <row r="2281" spans="1:1" x14ac:dyDescent="0.2">
      <c r="A2281">
        <v>2909.2152749752277</v>
      </c>
    </row>
    <row r="2282" spans="1:1" x14ac:dyDescent="0.2">
      <c r="A2282">
        <v>-7452.9917188455001</v>
      </c>
    </row>
    <row r="2283" spans="1:1" x14ac:dyDescent="0.2">
      <c r="A2283">
        <v>13693.30988201336</v>
      </c>
    </row>
    <row r="2284" spans="1:1" x14ac:dyDescent="0.2">
      <c r="A2284">
        <v>-20110.036512621446</v>
      </c>
    </row>
    <row r="2285" spans="1:1" x14ac:dyDescent="0.2">
      <c r="A2285">
        <v>5117.0373997240094</v>
      </c>
    </row>
    <row r="2286" spans="1:1" x14ac:dyDescent="0.2">
      <c r="A2286">
        <v>5464.0605589654297</v>
      </c>
    </row>
    <row r="2287" spans="1:1" x14ac:dyDescent="0.2">
      <c r="A2287">
        <v>7109.1478632781946</v>
      </c>
    </row>
    <row r="2288" spans="1:1" x14ac:dyDescent="0.2">
      <c r="A2288">
        <v>3322.7845447133877</v>
      </c>
    </row>
    <row r="2289" spans="1:1" x14ac:dyDescent="0.2">
      <c r="A2289">
        <v>-7906.2055415897048</v>
      </c>
    </row>
    <row r="2290" spans="1:1" x14ac:dyDescent="0.2">
      <c r="A2290">
        <v>8379.8599547731574</v>
      </c>
    </row>
    <row r="2291" spans="1:1" x14ac:dyDescent="0.2">
      <c r="A2291">
        <v>28693.137027480348</v>
      </c>
    </row>
    <row r="2292" spans="1:1" x14ac:dyDescent="0.2">
      <c r="A2292">
        <v>-4738.2941672734742</v>
      </c>
    </row>
    <row r="2293" spans="1:1" x14ac:dyDescent="0.2">
      <c r="A2293">
        <v>-42947.64873369236</v>
      </c>
    </row>
    <row r="2294" spans="1:1" x14ac:dyDescent="0.2">
      <c r="A2294">
        <v>4185.4542244758777</v>
      </c>
    </row>
    <row r="2295" spans="1:1" x14ac:dyDescent="0.2">
      <c r="A2295">
        <v>9597.1799280237174</v>
      </c>
    </row>
    <row r="2296" spans="1:1" x14ac:dyDescent="0.2">
      <c r="A2296">
        <v>-13789.548127406539</v>
      </c>
    </row>
    <row r="2297" spans="1:1" x14ac:dyDescent="0.2">
      <c r="A2297">
        <v>-1312.4201746192412</v>
      </c>
    </row>
    <row r="2298" spans="1:1" x14ac:dyDescent="0.2">
      <c r="A2298">
        <v>9966.4966375381919</v>
      </c>
    </row>
    <row r="2299" spans="1:1" x14ac:dyDescent="0.2">
      <c r="A2299">
        <v>1016.5157118464704</v>
      </c>
    </row>
    <row r="2300" spans="1:1" x14ac:dyDescent="0.2">
      <c r="A2300">
        <v>614.6909150556894</v>
      </c>
    </row>
    <row r="2301" spans="1:1" x14ac:dyDescent="0.2">
      <c r="A2301">
        <v>2074.2906859413197</v>
      </c>
    </row>
    <row r="2302" spans="1:1" x14ac:dyDescent="0.2">
      <c r="A2302">
        <v>6942.3672942150733</v>
      </c>
    </row>
    <row r="2303" spans="1:1" x14ac:dyDescent="0.2">
      <c r="A2303">
        <v>-8034.5271799382172</v>
      </c>
    </row>
    <row r="2304" spans="1:1" x14ac:dyDescent="0.2">
      <c r="A2304">
        <v>14464.291118396883</v>
      </c>
    </row>
    <row r="2305" spans="1:1" x14ac:dyDescent="0.2">
      <c r="A2305">
        <v>12455.412219978403</v>
      </c>
    </row>
    <row r="2306" spans="1:1" x14ac:dyDescent="0.2">
      <c r="A2306">
        <v>-3430.0458708415099</v>
      </c>
    </row>
    <row r="2307" spans="1:1" x14ac:dyDescent="0.2">
      <c r="A2307">
        <v>6265.9323305144644</v>
      </c>
    </row>
    <row r="2308" spans="1:1" x14ac:dyDescent="0.2">
      <c r="A2308">
        <v>-3890.762848974322</v>
      </c>
    </row>
    <row r="2309" spans="1:1" x14ac:dyDescent="0.2">
      <c r="A2309">
        <v>-1924.7949810776918</v>
      </c>
    </row>
    <row r="2310" spans="1:1" x14ac:dyDescent="0.2">
      <c r="A2310">
        <v>11899.054846225947</v>
      </c>
    </row>
    <row r="2311" spans="1:1" x14ac:dyDescent="0.2">
      <c r="A2311">
        <v>8714.0995561907766</v>
      </c>
    </row>
    <row r="2312" spans="1:1" x14ac:dyDescent="0.2">
      <c r="A2312">
        <v>5974.748775361717</v>
      </c>
    </row>
    <row r="2313" spans="1:1" x14ac:dyDescent="0.2">
      <c r="A2313">
        <v>-8433.5524655377376</v>
      </c>
    </row>
    <row r="2314" spans="1:1" x14ac:dyDescent="0.2">
      <c r="A2314">
        <v>18346.905257018399</v>
      </c>
    </row>
    <row r="2315" spans="1:1" x14ac:dyDescent="0.2">
      <c r="A2315">
        <v>19635.774761313049</v>
      </c>
    </row>
    <row r="2316" spans="1:1" x14ac:dyDescent="0.2">
      <c r="A2316">
        <v>5666.976512535708</v>
      </c>
    </row>
    <row r="2317" spans="1:1" x14ac:dyDescent="0.2">
      <c r="A2317">
        <v>-10735.913744925943</v>
      </c>
    </row>
    <row r="2318" spans="1:1" x14ac:dyDescent="0.2">
      <c r="A2318">
        <v>11328.789605274331</v>
      </c>
    </row>
    <row r="2319" spans="1:1" x14ac:dyDescent="0.2">
      <c r="A2319">
        <v>-1986.1688326987496</v>
      </c>
    </row>
    <row r="2320" spans="1:1" x14ac:dyDescent="0.2">
      <c r="A2320">
        <v>13029.93519322708</v>
      </c>
    </row>
    <row r="2321" spans="1:1" x14ac:dyDescent="0.2">
      <c r="A2321">
        <v>2575.9798540294869</v>
      </c>
    </row>
    <row r="2322" spans="1:1" x14ac:dyDescent="0.2">
      <c r="A2322">
        <v>-15654.47453408828</v>
      </c>
    </row>
    <row r="2323" spans="1:1" x14ac:dyDescent="0.2">
      <c r="A2323">
        <v>9041.9983758527378</v>
      </c>
    </row>
    <row r="2324" spans="1:1" x14ac:dyDescent="0.2">
      <c r="A2324">
        <v>9715.8677568572457</v>
      </c>
    </row>
    <row r="2325" spans="1:1" x14ac:dyDescent="0.2">
      <c r="A2325">
        <v>5871.8815499368357</v>
      </c>
    </row>
    <row r="2326" spans="1:1" x14ac:dyDescent="0.2">
      <c r="A2326">
        <v>3654.7346740441571</v>
      </c>
    </row>
    <row r="2327" spans="1:1" x14ac:dyDescent="0.2">
      <c r="A2327">
        <v>3220.3319522055972</v>
      </c>
    </row>
    <row r="2328" spans="1:1" x14ac:dyDescent="0.2">
      <c r="A2328">
        <v>-582.27578284853371</v>
      </c>
    </row>
    <row r="2329" spans="1:1" x14ac:dyDescent="0.2">
      <c r="A2329">
        <v>-1361.7901012950751</v>
      </c>
    </row>
    <row r="2330" spans="1:1" x14ac:dyDescent="0.2">
      <c r="A2330">
        <v>-10942.765652855218</v>
      </c>
    </row>
    <row r="2331" spans="1:1" x14ac:dyDescent="0.2">
      <c r="A2331">
        <v>8570.0403787806863</v>
      </c>
    </row>
    <row r="2332" spans="1:1" x14ac:dyDescent="0.2">
      <c r="A2332">
        <v>4965.7574682910345</v>
      </c>
    </row>
    <row r="2333" spans="1:1" x14ac:dyDescent="0.2">
      <c r="A2333">
        <v>-2084.0880081423093</v>
      </c>
    </row>
    <row r="2334" spans="1:1" x14ac:dyDescent="0.2">
      <c r="A2334">
        <v>13584.76643583132</v>
      </c>
    </row>
    <row r="2335" spans="1:1" x14ac:dyDescent="0.2">
      <c r="A2335">
        <v>16816.018222530955</v>
      </c>
    </row>
    <row r="2336" spans="1:1" x14ac:dyDescent="0.2">
      <c r="A2336">
        <v>13580.964219220827</v>
      </c>
    </row>
    <row r="2337" spans="1:1" x14ac:dyDescent="0.2">
      <c r="A2337">
        <v>-5924.7361267793458</v>
      </c>
    </row>
    <row r="2338" spans="1:1" x14ac:dyDescent="0.2">
      <c r="A2338">
        <v>-4914.8687331150286</v>
      </c>
    </row>
    <row r="2339" spans="1:1" x14ac:dyDescent="0.2">
      <c r="A2339">
        <v>5653.9828479357238</v>
      </c>
    </row>
    <row r="2340" spans="1:1" x14ac:dyDescent="0.2">
      <c r="A2340">
        <v>-904.9472159477009</v>
      </c>
    </row>
    <row r="2341" spans="1:1" x14ac:dyDescent="0.2">
      <c r="A2341">
        <v>8980.8143590055988</v>
      </c>
    </row>
    <row r="2342" spans="1:1" x14ac:dyDescent="0.2">
      <c r="A2342">
        <v>-22647.648852901533</v>
      </c>
    </row>
    <row r="2343" spans="1:1" x14ac:dyDescent="0.2">
      <c r="A2343">
        <v>-5008.8008057896659</v>
      </c>
    </row>
    <row r="2344" spans="1:1" x14ac:dyDescent="0.2">
      <c r="A2344">
        <v>4090.8788055944606</v>
      </c>
    </row>
    <row r="2345" spans="1:1" x14ac:dyDescent="0.2">
      <c r="A2345">
        <v>-4910.1139929080964</v>
      </c>
    </row>
    <row r="2346" spans="1:1" x14ac:dyDescent="0.2">
      <c r="A2346">
        <v>-12964.712334928918</v>
      </c>
    </row>
    <row r="2347" spans="1:1" x14ac:dyDescent="0.2">
      <c r="A2347">
        <v>7877.7392128537467</v>
      </c>
    </row>
    <row r="2348" spans="1:1" x14ac:dyDescent="0.2">
      <c r="A2348">
        <v>-10949.943497367087</v>
      </c>
    </row>
    <row r="2349" spans="1:1" x14ac:dyDescent="0.2">
      <c r="A2349">
        <v>-21336.366515068396</v>
      </c>
    </row>
    <row r="2350" spans="1:1" x14ac:dyDescent="0.2">
      <c r="A2350">
        <v>-7770.0717336823</v>
      </c>
    </row>
    <row r="2351" spans="1:1" x14ac:dyDescent="0.2">
      <c r="A2351">
        <v>3672.5519113239134</v>
      </c>
    </row>
    <row r="2352" spans="1:1" x14ac:dyDescent="0.2">
      <c r="A2352">
        <v>-8691.0889706632588</v>
      </c>
    </row>
    <row r="2353" spans="1:1" x14ac:dyDescent="0.2">
      <c r="A2353">
        <v>-23575.951762826531</v>
      </c>
    </row>
    <row r="2354" spans="1:1" x14ac:dyDescent="0.2">
      <c r="A2354">
        <v>-12068.404279993381</v>
      </c>
    </row>
    <row r="2355" spans="1:1" x14ac:dyDescent="0.2">
      <c r="A2355">
        <v>11717.011094897578</v>
      </c>
    </row>
    <row r="2356" spans="1:1" x14ac:dyDescent="0.2">
      <c r="A2356">
        <v>6390.2723115357803</v>
      </c>
    </row>
    <row r="2357" spans="1:1" x14ac:dyDescent="0.2">
      <c r="A2357">
        <v>-2942.5517647626111</v>
      </c>
    </row>
    <row r="2358" spans="1:1" x14ac:dyDescent="0.2">
      <c r="A2358">
        <v>2499.3001218394202</v>
      </c>
    </row>
    <row r="2359" spans="1:1" x14ac:dyDescent="0.2">
      <c r="A2359">
        <v>-1105.1854058564059</v>
      </c>
    </row>
    <row r="2360" spans="1:1" x14ac:dyDescent="0.2">
      <c r="A2360">
        <v>5533.2924700061267</v>
      </c>
    </row>
    <row r="2361" spans="1:1" x14ac:dyDescent="0.2">
      <c r="A2361">
        <v>-6456.3427019766532</v>
      </c>
    </row>
    <row r="2362" spans="1:1" x14ac:dyDescent="0.2">
      <c r="A2362">
        <v>-7373.9889975948608</v>
      </c>
    </row>
    <row r="2363" spans="1:1" x14ac:dyDescent="0.2">
      <c r="A2363">
        <v>13668.613417541783</v>
      </c>
    </row>
    <row r="2364" spans="1:1" x14ac:dyDescent="0.2">
      <c r="A2364">
        <v>388.65108219115064</v>
      </c>
    </row>
    <row r="2365" spans="1:1" x14ac:dyDescent="0.2">
      <c r="A2365">
        <v>2666.4650206487859</v>
      </c>
    </row>
    <row r="2366" spans="1:1" x14ac:dyDescent="0.2">
      <c r="A2366">
        <v>494.6533749266091</v>
      </c>
    </row>
    <row r="2367" spans="1:1" x14ac:dyDescent="0.2">
      <c r="A2367">
        <v>1681.9778457856737</v>
      </c>
    </row>
    <row r="2368" spans="1:1" x14ac:dyDescent="0.2">
      <c r="A2368">
        <v>11932.686931898788</v>
      </c>
    </row>
    <row r="2369" spans="1:1" x14ac:dyDescent="0.2">
      <c r="A2369">
        <v>15467.930171867425</v>
      </c>
    </row>
    <row r="2370" spans="1:1" x14ac:dyDescent="0.2">
      <c r="A2370">
        <v>-4457.0178343326843</v>
      </c>
    </row>
    <row r="2371" spans="1:1" x14ac:dyDescent="0.2">
      <c r="A2371">
        <v>14494.848718747671</v>
      </c>
    </row>
    <row r="2372" spans="1:1" x14ac:dyDescent="0.2">
      <c r="A2372">
        <v>-1497.1306614394125</v>
      </c>
    </row>
    <row r="2373" spans="1:1" x14ac:dyDescent="0.2">
      <c r="A2373">
        <v>4767.8312367764884</v>
      </c>
    </row>
    <row r="2374" spans="1:1" x14ac:dyDescent="0.2">
      <c r="A2374">
        <v>12553.283261671255</v>
      </c>
    </row>
    <row r="2375" spans="1:1" x14ac:dyDescent="0.2">
      <c r="A2375">
        <v>-23299.875641245977</v>
      </c>
    </row>
    <row r="2376" spans="1:1" x14ac:dyDescent="0.2">
      <c r="A2376">
        <v>1442.3896001809044</v>
      </c>
    </row>
    <row r="2377" spans="1:1" x14ac:dyDescent="0.2">
      <c r="A2377">
        <v>24933.434312482044</v>
      </c>
    </row>
    <row r="2378" spans="1:1" x14ac:dyDescent="0.2">
      <c r="A2378">
        <v>-14423.926331107767</v>
      </c>
    </row>
    <row r="2379" spans="1:1" x14ac:dyDescent="0.2">
      <c r="A2379">
        <v>-775.7511409240833</v>
      </c>
    </row>
    <row r="2380" spans="1:1" x14ac:dyDescent="0.2">
      <c r="A2380">
        <v>774.75757660556701</v>
      </c>
    </row>
    <row r="2381" spans="1:1" x14ac:dyDescent="0.2">
      <c r="A2381">
        <v>5171.4461619437207</v>
      </c>
    </row>
    <row r="2382" spans="1:1" x14ac:dyDescent="0.2">
      <c r="A2382">
        <v>-14504.036599591724</v>
      </c>
    </row>
    <row r="2383" spans="1:1" x14ac:dyDescent="0.2">
      <c r="A2383">
        <v>-6444.4575518366764</v>
      </c>
    </row>
    <row r="2384" spans="1:1" x14ac:dyDescent="0.2">
      <c r="A2384">
        <v>8204.8911206369521</v>
      </c>
    </row>
    <row r="2385" spans="1:1" x14ac:dyDescent="0.2">
      <c r="A2385">
        <v>-7081.0281082347501</v>
      </c>
    </row>
    <row r="2386" spans="1:1" x14ac:dyDescent="0.2">
      <c r="A2386">
        <v>2831.0956496446743</v>
      </c>
    </row>
    <row r="2387" spans="1:1" x14ac:dyDescent="0.2">
      <c r="A2387">
        <v>9129.4472080600681</v>
      </c>
    </row>
    <row r="2388" spans="1:1" x14ac:dyDescent="0.2">
      <c r="A2388">
        <v>-749.91563668128219</v>
      </c>
    </row>
    <row r="2389" spans="1:1" x14ac:dyDescent="0.2">
      <c r="A2389">
        <v>3535.6450200102408</v>
      </c>
    </row>
    <row r="2390" spans="1:1" x14ac:dyDescent="0.2">
      <c r="A2390">
        <v>-9525.0465773639735</v>
      </c>
    </row>
    <row r="2391" spans="1:1" x14ac:dyDescent="0.2">
      <c r="A2391">
        <v>2175.6549924719147</v>
      </c>
    </row>
    <row r="2392" spans="1:1" x14ac:dyDescent="0.2">
      <c r="A2392">
        <v>13667.928217985522</v>
      </c>
    </row>
    <row r="2393" spans="1:1" x14ac:dyDescent="0.2">
      <c r="A2393">
        <v>3561.4631896664796</v>
      </c>
    </row>
    <row r="2394" spans="1:1" x14ac:dyDescent="0.2">
      <c r="A2394">
        <v>-737.61547874318785</v>
      </c>
    </row>
    <row r="2395" spans="1:1" x14ac:dyDescent="0.2">
      <c r="A2395">
        <v>3838.7122498766403</v>
      </c>
    </row>
    <row r="2396" spans="1:1" x14ac:dyDescent="0.2">
      <c r="A2396">
        <v>19524.662478435668</v>
      </c>
    </row>
    <row r="2397" spans="1:1" x14ac:dyDescent="0.2">
      <c r="A2397">
        <v>-14588.733477144444</v>
      </c>
    </row>
    <row r="2398" spans="1:1" x14ac:dyDescent="0.2">
      <c r="A2398">
        <v>-13117.923034049862</v>
      </c>
    </row>
    <row r="2399" spans="1:1" x14ac:dyDescent="0.2">
      <c r="A2399">
        <v>-2474.6429877337941</v>
      </c>
    </row>
    <row r="2400" spans="1:1" x14ac:dyDescent="0.2">
      <c r="A2400">
        <v>-14117.007281324011</v>
      </c>
    </row>
    <row r="2401" spans="1:1" x14ac:dyDescent="0.2">
      <c r="A2401">
        <v>11605.656477681769</v>
      </c>
    </row>
    <row r="2402" spans="1:1" x14ac:dyDescent="0.2">
      <c r="A2402">
        <v>5923.8174791000201</v>
      </c>
    </row>
    <row r="2403" spans="1:1" x14ac:dyDescent="0.2">
      <c r="A2403">
        <v>-14983.5982642413</v>
      </c>
    </row>
    <row r="2404" spans="1:1" x14ac:dyDescent="0.2">
      <c r="A2404">
        <v>-4458.7944200622151</v>
      </c>
    </row>
    <row r="2405" spans="1:1" x14ac:dyDescent="0.2">
      <c r="A2405">
        <v>5668.9990061005228</v>
      </c>
    </row>
    <row r="2406" spans="1:1" x14ac:dyDescent="0.2">
      <c r="A2406">
        <v>1171.1322785975062</v>
      </c>
    </row>
    <row r="2407" spans="1:1" x14ac:dyDescent="0.2">
      <c r="A2407">
        <v>-1551.5417352357763</v>
      </c>
    </row>
    <row r="2408" spans="1:1" x14ac:dyDescent="0.2">
      <c r="A2408">
        <v>6702.6242418471375</v>
      </c>
    </row>
    <row r="2409" spans="1:1" x14ac:dyDescent="0.2">
      <c r="A2409">
        <v>5795.4684898680716</v>
      </c>
    </row>
    <row r="2410" spans="1:1" x14ac:dyDescent="0.2">
      <c r="A2410">
        <v>19285.234424597918</v>
      </c>
    </row>
    <row r="2411" spans="1:1" x14ac:dyDescent="0.2">
      <c r="A2411">
        <v>-11363.586740423692</v>
      </c>
    </row>
    <row r="2412" spans="1:1" x14ac:dyDescent="0.2">
      <c r="A2412">
        <v>12856.588372432452</v>
      </c>
    </row>
    <row r="2413" spans="1:1" x14ac:dyDescent="0.2">
      <c r="A2413">
        <v>-9491.4085876625031</v>
      </c>
    </row>
    <row r="2414" spans="1:1" x14ac:dyDescent="0.2">
      <c r="A2414">
        <v>19930.773200020718</v>
      </c>
    </row>
    <row r="2415" spans="1:1" x14ac:dyDescent="0.2">
      <c r="A2415">
        <v>3558.2399326389423</v>
      </c>
    </row>
    <row r="2416" spans="1:1" x14ac:dyDescent="0.2">
      <c r="A2416">
        <v>8615.3412469009345</v>
      </c>
    </row>
    <row r="2417" spans="1:1" x14ac:dyDescent="0.2">
      <c r="A2417">
        <v>-1639.0674606306711</v>
      </c>
    </row>
    <row r="2418" spans="1:1" x14ac:dyDescent="0.2">
      <c r="A2418">
        <v>3831.4968699686287</v>
      </c>
    </row>
    <row r="2419" spans="1:1" x14ac:dyDescent="0.2">
      <c r="A2419">
        <v>-6422.499942385155</v>
      </c>
    </row>
    <row r="2420" spans="1:1" x14ac:dyDescent="0.2">
      <c r="A2420">
        <v>147.25621003808919</v>
      </c>
    </row>
    <row r="2421" spans="1:1" x14ac:dyDescent="0.2">
      <c r="A2421">
        <v>10557.659000338084</v>
      </c>
    </row>
    <row r="2422" spans="1:1" x14ac:dyDescent="0.2">
      <c r="A2422">
        <v>-2280.80987341539</v>
      </c>
    </row>
    <row r="2423" spans="1:1" x14ac:dyDescent="0.2">
      <c r="A2423">
        <v>7208.3661902965105</v>
      </c>
    </row>
    <row r="2424" spans="1:1" x14ac:dyDescent="0.2">
      <c r="A2424">
        <v>-5828.4379934700555</v>
      </c>
    </row>
    <row r="2425" spans="1:1" x14ac:dyDescent="0.2">
      <c r="A2425">
        <v>5870.6571652392158</v>
      </c>
    </row>
    <row r="2426" spans="1:1" x14ac:dyDescent="0.2">
      <c r="A2426">
        <v>-2099.7157207302807</v>
      </c>
    </row>
    <row r="2427" spans="1:1" x14ac:dyDescent="0.2">
      <c r="A2427">
        <v>-7539.1740653250599</v>
      </c>
    </row>
    <row r="2428" spans="1:1" x14ac:dyDescent="0.2">
      <c r="A2428">
        <v>-7324.0813698022685</v>
      </c>
    </row>
    <row r="2429" spans="1:1" x14ac:dyDescent="0.2">
      <c r="A2429">
        <v>681.97533527083579</v>
      </c>
    </row>
    <row r="2430" spans="1:1" x14ac:dyDescent="0.2">
      <c r="A2430">
        <v>14808.022568665387</v>
      </c>
    </row>
    <row r="2431" spans="1:1" x14ac:dyDescent="0.2">
      <c r="A2431">
        <v>2429.2417973815463</v>
      </c>
    </row>
    <row r="2432" spans="1:1" x14ac:dyDescent="0.2">
      <c r="A2432">
        <v>1053.2581211216166</v>
      </c>
    </row>
    <row r="2433" spans="1:1" x14ac:dyDescent="0.2">
      <c r="A2433">
        <v>12739.438938353444</v>
      </c>
    </row>
    <row r="2434" spans="1:1" x14ac:dyDescent="0.2">
      <c r="A2434">
        <v>875.54394586541457</v>
      </c>
    </row>
    <row r="2435" spans="1:1" x14ac:dyDescent="0.2">
      <c r="A2435">
        <v>-3282.6069898470159</v>
      </c>
    </row>
    <row r="2436" spans="1:1" x14ac:dyDescent="0.2">
      <c r="A2436">
        <v>6031.371863209235</v>
      </c>
    </row>
    <row r="2437" spans="1:1" x14ac:dyDescent="0.2">
      <c r="A2437">
        <v>-5733.1190021360526</v>
      </c>
    </row>
    <row r="2438" spans="1:1" x14ac:dyDescent="0.2">
      <c r="A2438">
        <v>681.06854384823237</v>
      </c>
    </row>
    <row r="2439" spans="1:1" x14ac:dyDescent="0.2">
      <c r="A2439">
        <v>2268.3241298469657</v>
      </c>
    </row>
    <row r="2440" spans="1:1" x14ac:dyDescent="0.2">
      <c r="A2440">
        <v>7225.8934113119321</v>
      </c>
    </row>
    <row r="2441" spans="1:1" x14ac:dyDescent="0.2">
      <c r="A2441">
        <v>12124.544420904305</v>
      </c>
    </row>
    <row r="2442" spans="1:1" x14ac:dyDescent="0.2">
      <c r="A2442">
        <v>1189.4067350663245</v>
      </c>
    </row>
    <row r="2443" spans="1:1" x14ac:dyDescent="0.2">
      <c r="A2443">
        <v>6350.4774333937094</v>
      </c>
    </row>
    <row r="2444" spans="1:1" x14ac:dyDescent="0.2">
      <c r="A2444">
        <v>1194.1954980193404</v>
      </c>
    </row>
    <row r="2445" spans="1:1" x14ac:dyDescent="0.2">
      <c r="A2445">
        <v>2326.1973220930668</v>
      </c>
    </row>
    <row r="2446" spans="1:1" x14ac:dyDescent="0.2">
      <c r="A2446">
        <v>1318.9572643598076</v>
      </c>
    </row>
    <row r="2447" spans="1:1" x14ac:dyDescent="0.2">
      <c r="A2447">
        <v>3582.0155903765117</v>
      </c>
    </row>
    <row r="2448" spans="1:1" x14ac:dyDescent="0.2">
      <c r="A2448">
        <v>-10174.557710738038</v>
      </c>
    </row>
    <row r="2449" spans="1:1" x14ac:dyDescent="0.2">
      <c r="A2449">
        <v>-7797.9153999947594</v>
      </c>
    </row>
    <row r="2450" spans="1:1" x14ac:dyDescent="0.2">
      <c r="A2450">
        <v>6313.7297020082187</v>
      </c>
    </row>
    <row r="2451" spans="1:1" x14ac:dyDescent="0.2">
      <c r="A2451">
        <v>5246.369519208878</v>
      </c>
    </row>
    <row r="2452" spans="1:1" x14ac:dyDescent="0.2">
      <c r="A2452">
        <v>-23314.382811418443</v>
      </c>
    </row>
    <row r="2453" spans="1:1" x14ac:dyDescent="0.2">
      <c r="A2453">
        <v>-8790.3545199691434</v>
      </c>
    </row>
    <row r="2454" spans="1:1" x14ac:dyDescent="0.2">
      <c r="A2454">
        <v>-1347.0654445163091</v>
      </c>
    </row>
    <row r="2455" spans="1:1" x14ac:dyDescent="0.2">
      <c r="A2455">
        <v>11102.126957711851</v>
      </c>
    </row>
    <row r="2456" spans="1:1" x14ac:dyDescent="0.2">
      <c r="A2456">
        <v>-4437.04264490676</v>
      </c>
    </row>
    <row r="2457" spans="1:1" x14ac:dyDescent="0.2">
      <c r="A2457">
        <v>9533.5047701025615</v>
      </c>
    </row>
    <row r="2458" spans="1:1" x14ac:dyDescent="0.2">
      <c r="A2458">
        <v>4763.4696416053339</v>
      </c>
    </row>
    <row r="2459" spans="1:1" x14ac:dyDescent="0.2">
      <c r="A2459">
        <v>12706.911708687781</v>
      </c>
    </row>
    <row r="2460" spans="1:1" x14ac:dyDescent="0.2">
      <c r="A2460">
        <v>-269.5899953628541</v>
      </c>
    </row>
    <row r="2461" spans="1:1" x14ac:dyDescent="0.2">
      <c r="A2461">
        <v>-111.27708765376883</v>
      </c>
    </row>
    <row r="2462" spans="1:1" x14ac:dyDescent="0.2">
      <c r="A2462">
        <v>4634.3719978014706</v>
      </c>
    </row>
    <row r="2463" spans="1:1" x14ac:dyDescent="0.2">
      <c r="A2463">
        <v>6731.9364441156795</v>
      </c>
    </row>
    <row r="2464" spans="1:1" x14ac:dyDescent="0.2">
      <c r="A2464">
        <v>19960.500661779981</v>
      </c>
    </row>
    <row r="2465" spans="1:1" x14ac:dyDescent="0.2">
      <c r="A2465">
        <v>16040.237642946246</v>
      </c>
    </row>
    <row r="2466" spans="1:1" x14ac:dyDescent="0.2">
      <c r="A2466">
        <v>-1237.7851403905079</v>
      </c>
    </row>
    <row r="2467" spans="1:1" x14ac:dyDescent="0.2">
      <c r="A2467">
        <v>7044.2831205549883</v>
      </c>
    </row>
    <row r="2468" spans="1:1" x14ac:dyDescent="0.2">
      <c r="A2468">
        <v>8958.0023836811888</v>
      </c>
    </row>
    <row r="2469" spans="1:1" x14ac:dyDescent="0.2">
      <c r="A2469">
        <v>-14484.226698521932</v>
      </c>
    </row>
    <row r="2470" spans="1:1" x14ac:dyDescent="0.2">
      <c r="A2470">
        <v>3324.3962344987522</v>
      </c>
    </row>
    <row r="2471" spans="1:1" x14ac:dyDescent="0.2">
      <c r="A2471">
        <v>26996.91934679827</v>
      </c>
    </row>
    <row r="2472" spans="1:1" x14ac:dyDescent="0.2">
      <c r="A2472">
        <v>19732.657437270711</v>
      </c>
    </row>
    <row r="2473" spans="1:1" x14ac:dyDescent="0.2">
      <c r="A2473">
        <v>15934.291193194513</v>
      </c>
    </row>
    <row r="2474" spans="1:1" x14ac:dyDescent="0.2">
      <c r="A2474">
        <v>-4668.7900253667613</v>
      </c>
    </row>
    <row r="2475" spans="1:1" x14ac:dyDescent="0.2">
      <c r="A2475">
        <v>11318.365941543889</v>
      </c>
    </row>
    <row r="2476" spans="1:1" x14ac:dyDescent="0.2">
      <c r="A2476">
        <v>6148.2777368177776</v>
      </c>
    </row>
    <row r="2477" spans="1:1" x14ac:dyDescent="0.2">
      <c r="A2477">
        <v>-5794.5281463084975</v>
      </c>
    </row>
    <row r="2478" spans="1:1" x14ac:dyDescent="0.2">
      <c r="A2478">
        <v>7228.1920532826625</v>
      </c>
    </row>
    <row r="2479" spans="1:1" x14ac:dyDescent="0.2">
      <c r="A2479">
        <v>514.01120355090825</v>
      </c>
    </row>
    <row r="2480" spans="1:1" x14ac:dyDescent="0.2">
      <c r="A2480">
        <v>16254.131191713503</v>
      </c>
    </row>
    <row r="2481" spans="1:1" x14ac:dyDescent="0.2">
      <c r="A2481">
        <v>-7602.953818658134</v>
      </c>
    </row>
    <row r="2482" spans="1:1" x14ac:dyDescent="0.2">
      <c r="A2482">
        <v>7518.7520949746831</v>
      </c>
    </row>
    <row r="2483" spans="1:1" x14ac:dyDescent="0.2">
      <c r="A2483">
        <v>15929.48604053288</v>
      </c>
    </row>
    <row r="2484" spans="1:1" x14ac:dyDescent="0.2">
      <c r="A2484">
        <v>9990.483560293651</v>
      </c>
    </row>
    <row r="2485" spans="1:1" x14ac:dyDescent="0.2">
      <c r="A2485">
        <v>-12386.204160005582</v>
      </c>
    </row>
    <row r="2486" spans="1:1" x14ac:dyDescent="0.2">
      <c r="A2486">
        <v>-9306.5409525141004</v>
      </c>
    </row>
    <row r="2487" spans="1:1" x14ac:dyDescent="0.2">
      <c r="A2487">
        <v>5744.2279310068116</v>
      </c>
    </row>
    <row r="2488" spans="1:1" x14ac:dyDescent="0.2">
      <c r="A2488">
        <v>629.91155921798781</v>
      </c>
    </row>
    <row r="2489" spans="1:1" x14ac:dyDescent="0.2">
      <c r="A2489">
        <v>-7554.9615157474473</v>
      </c>
    </row>
    <row r="2490" spans="1:1" x14ac:dyDescent="0.2">
      <c r="A2490">
        <v>-7624.7960427028011</v>
      </c>
    </row>
    <row r="2491" spans="1:1" x14ac:dyDescent="0.2">
      <c r="A2491">
        <v>-4410.7193093634269</v>
      </c>
    </row>
    <row r="2492" spans="1:1" x14ac:dyDescent="0.2">
      <c r="A2492">
        <v>18587.959576071938</v>
      </c>
    </row>
    <row r="2493" spans="1:1" x14ac:dyDescent="0.2">
      <c r="A2493">
        <v>-13268.996582095162</v>
      </c>
    </row>
    <row r="2494" spans="1:1" x14ac:dyDescent="0.2">
      <c r="A2494">
        <v>817.332677063765</v>
      </c>
    </row>
    <row r="2495" spans="1:1" x14ac:dyDescent="0.2">
      <c r="A2495">
        <v>17897.385458756529</v>
      </c>
    </row>
    <row r="2496" spans="1:1" x14ac:dyDescent="0.2">
      <c r="A2496">
        <v>3507.7048367279931</v>
      </c>
    </row>
    <row r="2497" spans="1:1" x14ac:dyDescent="0.2">
      <c r="A2497">
        <v>-5275.2187021408463</v>
      </c>
    </row>
    <row r="2498" spans="1:1" x14ac:dyDescent="0.2">
      <c r="A2498">
        <v>319.87681156519102</v>
      </c>
    </row>
    <row r="2499" spans="1:1" x14ac:dyDescent="0.2">
      <c r="A2499">
        <v>19276.185233634897</v>
      </c>
    </row>
    <row r="2500" spans="1:1" x14ac:dyDescent="0.2">
      <c r="A2500">
        <v>6518.8123854311707</v>
      </c>
    </row>
    <row r="2501" spans="1:1" x14ac:dyDescent="0.2">
      <c r="A2501">
        <v>-6810.361674559419</v>
      </c>
    </row>
    <row r="2502" spans="1:1" x14ac:dyDescent="0.2">
      <c r="A2502">
        <v>8369.8618856211542</v>
      </c>
    </row>
    <row r="2503" spans="1:1" x14ac:dyDescent="0.2">
      <c r="A2503">
        <v>-696.48595679784194</v>
      </c>
    </row>
    <row r="2504" spans="1:1" x14ac:dyDescent="0.2">
      <c r="A2504">
        <v>-762.58301931273309</v>
      </c>
    </row>
    <row r="2505" spans="1:1" x14ac:dyDescent="0.2">
      <c r="A2505">
        <v>7001.9984615472495</v>
      </c>
    </row>
    <row r="2506" spans="1:1" x14ac:dyDescent="0.2">
      <c r="A2506">
        <v>-2730.683842413302</v>
      </c>
    </row>
    <row r="2507" spans="1:1" x14ac:dyDescent="0.2">
      <c r="A2507">
        <v>16433.524610955501</v>
      </c>
    </row>
    <row r="2508" spans="1:1" x14ac:dyDescent="0.2">
      <c r="A2508">
        <v>-1556.5549326087348</v>
      </c>
    </row>
    <row r="2509" spans="1:1" x14ac:dyDescent="0.2">
      <c r="A2509">
        <v>10637.762013037718</v>
      </c>
    </row>
    <row r="2510" spans="1:1" x14ac:dyDescent="0.2">
      <c r="A2510">
        <v>4729.6030502404319</v>
      </c>
    </row>
    <row r="2511" spans="1:1" x14ac:dyDescent="0.2">
      <c r="A2511">
        <v>9380.4735838999623</v>
      </c>
    </row>
    <row r="2512" spans="1:1" x14ac:dyDescent="0.2">
      <c r="A2512">
        <v>10861.249664439587</v>
      </c>
    </row>
    <row r="2513" spans="1:1" x14ac:dyDescent="0.2">
      <c r="A2513">
        <v>-24493.20677064592</v>
      </c>
    </row>
    <row r="2514" spans="1:1" x14ac:dyDescent="0.2">
      <c r="A2514">
        <v>1955.4923494527466</v>
      </c>
    </row>
    <row r="2515" spans="1:1" x14ac:dyDescent="0.2">
      <c r="A2515">
        <v>-10291.584081995126</v>
      </c>
    </row>
    <row r="2516" spans="1:1" x14ac:dyDescent="0.2">
      <c r="A2516">
        <v>17795.903714306885</v>
      </c>
    </row>
    <row r="2517" spans="1:1" x14ac:dyDescent="0.2">
      <c r="A2517">
        <v>-5433.9093991022964</v>
      </c>
    </row>
    <row r="2518" spans="1:1" x14ac:dyDescent="0.2">
      <c r="A2518">
        <v>19708.940586881159</v>
      </c>
    </row>
    <row r="2519" spans="1:1" x14ac:dyDescent="0.2">
      <c r="A2519">
        <v>-14404.488586037245</v>
      </c>
    </row>
    <row r="2520" spans="1:1" x14ac:dyDescent="0.2">
      <c r="A2520">
        <v>5670.1387048602919</v>
      </c>
    </row>
    <row r="2521" spans="1:1" x14ac:dyDescent="0.2">
      <c r="A2521">
        <v>2289.3418107547332</v>
      </c>
    </row>
    <row r="2522" spans="1:1" x14ac:dyDescent="0.2">
      <c r="A2522">
        <v>-13186.531948372372</v>
      </c>
    </row>
    <row r="2523" spans="1:1" x14ac:dyDescent="0.2">
      <c r="A2523">
        <v>6123.2634895628435</v>
      </c>
    </row>
    <row r="2524" spans="1:1" x14ac:dyDescent="0.2">
      <c r="A2524">
        <v>1231.148144238774</v>
      </c>
    </row>
    <row r="2525" spans="1:1" x14ac:dyDescent="0.2">
      <c r="A2525">
        <v>5767.1914428703021</v>
      </c>
    </row>
    <row r="2526" spans="1:1" x14ac:dyDescent="0.2">
      <c r="A2526">
        <v>-6871.673741358798</v>
      </c>
    </row>
    <row r="2527" spans="1:1" x14ac:dyDescent="0.2">
      <c r="A2527">
        <v>9236.3775626920396</v>
      </c>
    </row>
    <row r="2528" spans="1:1" x14ac:dyDescent="0.2">
      <c r="A2528">
        <v>1186.8506116434583</v>
      </c>
    </row>
    <row r="2529" spans="1:1" x14ac:dyDescent="0.2">
      <c r="A2529">
        <v>-7758.064426848141</v>
      </c>
    </row>
    <row r="2530" spans="1:1" x14ac:dyDescent="0.2">
      <c r="A2530">
        <v>14677.254092546878</v>
      </c>
    </row>
    <row r="2531" spans="1:1" x14ac:dyDescent="0.2">
      <c r="A2531">
        <v>-552.87551231740508</v>
      </c>
    </row>
    <row r="2532" spans="1:1" x14ac:dyDescent="0.2">
      <c r="A2532">
        <v>28043.526547965201</v>
      </c>
    </row>
    <row r="2533" spans="1:1" x14ac:dyDescent="0.2">
      <c r="A2533">
        <v>4734.6009712984669</v>
      </c>
    </row>
    <row r="2534" spans="1:1" x14ac:dyDescent="0.2">
      <c r="A2534">
        <v>12291.511650621163</v>
      </c>
    </row>
    <row r="2535" spans="1:1" x14ac:dyDescent="0.2">
      <c r="A2535">
        <v>-2786.2003505525645</v>
      </c>
    </row>
    <row r="2536" spans="1:1" x14ac:dyDescent="0.2">
      <c r="A2536">
        <v>6726.3923147565802</v>
      </c>
    </row>
    <row r="2537" spans="1:1" x14ac:dyDescent="0.2">
      <c r="A2537">
        <v>5748.0384618067765</v>
      </c>
    </row>
    <row r="2538" spans="1:1" x14ac:dyDescent="0.2">
      <c r="A2538">
        <v>-2589.0687590167799</v>
      </c>
    </row>
    <row r="2539" spans="1:1" x14ac:dyDescent="0.2">
      <c r="A2539">
        <v>-1375.5259821097425</v>
      </c>
    </row>
    <row r="2540" spans="1:1" x14ac:dyDescent="0.2">
      <c r="A2540">
        <v>823.42150036722887</v>
      </c>
    </row>
    <row r="2541" spans="1:1" x14ac:dyDescent="0.2">
      <c r="A2541">
        <v>2974.121731098392</v>
      </c>
    </row>
    <row r="2542" spans="1:1" x14ac:dyDescent="0.2">
      <c r="A2542">
        <v>12625.522569381821</v>
      </c>
    </row>
    <row r="2543" spans="1:1" x14ac:dyDescent="0.2">
      <c r="A2543">
        <v>-11779.522420574795</v>
      </c>
    </row>
    <row r="2544" spans="1:1" x14ac:dyDescent="0.2">
      <c r="A2544">
        <v>-13157.482405945804</v>
      </c>
    </row>
    <row r="2545" spans="1:1" x14ac:dyDescent="0.2">
      <c r="A2545">
        <v>-650.28647970047314</v>
      </c>
    </row>
    <row r="2546" spans="1:1" x14ac:dyDescent="0.2">
      <c r="A2546">
        <v>8809.1876902315416</v>
      </c>
    </row>
    <row r="2547" spans="1:1" x14ac:dyDescent="0.2">
      <c r="A2547">
        <v>-10088.622811832523</v>
      </c>
    </row>
    <row r="2548" spans="1:1" x14ac:dyDescent="0.2">
      <c r="A2548">
        <v>3484.3101511891582</v>
      </c>
    </row>
    <row r="2549" spans="1:1" x14ac:dyDescent="0.2">
      <c r="A2549">
        <v>5036.9088924408279</v>
      </c>
    </row>
    <row r="2550" spans="1:1" x14ac:dyDescent="0.2">
      <c r="A2550">
        <v>456.67119435305358</v>
      </c>
    </row>
    <row r="2551" spans="1:1" x14ac:dyDescent="0.2">
      <c r="A2551">
        <v>-7140.984636559675</v>
      </c>
    </row>
    <row r="2552" spans="1:1" x14ac:dyDescent="0.2">
      <c r="A2552">
        <v>-195.80250058168895</v>
      </c>
    </row>
    <row r="2553" spans="1:1" x14ac:dyDescent="0.2">
      <c r="A2553">
        <v>10935.879621408123</v>
      </c>
    </row>
    <row r="2554" spans="1:1" x14ac:dyDescent="0.2">
      <c r="A2554">
        <v>-4207.3275212474982</v>
      </c>
    </row>
    <row r="2555" spans="1:1" x14ac:dyDescent="0.2">
      <c r="A2555">
        <v>14913.380798004568</v>
      </c>
    </row>
    <row r="2556" spans="1:1" x14ac:dyDescent="0.2">
      <c r="A2556">
        <v>-3312.6687008183799</v>
      </c>
    </row>
    <row r="2557" spans="1:1" x14ac:dyDescent="0.2">
      <c r="A2557">
        <v>459.26117032481125</v>
      </c>
    </row>
    <row r="2558" spans="1:1" x14ac:dyDescent="0.2">
      <c r="A2558">
        <v>6150.9639066786913</v>
      </c>
    </row>
    <row r="2559" spans="1:1" x14ac:dyDescent="0.2">
      <c r="A2559">
        <v>-3843.468338739156</v>
      </c>
    </row>
    <row r="2560" spans="1:1" x14ac:dyDescent="0.2">
      <c r="A2560">
        <v>12084.66446329371</v>
      </c>
    </row>
    <row r="2561" spans="1:1" x14ac:dyDescent="0.2">
      <c r="A2561">
        <v>2502.8849942341913</v>
      </c>
    </row>
    <row r="2562" spans="1:1" x14ac:dyDescent="0.2">
      <c r="A2562">
        <v>12646.81539247949</v>
      </c>
    </row>
    <row r="2563" spans="1:1" x14ac:dyDescent="0.2">
      <c r="A2563">
        <v>-4024.1388377679395</v>
      </c>
    </row>
    <row r="2564" spans="1:1" x14ac:dyDescent="0.2">
      <c r="A2564">
        <v>-57.556611601699842</v>
      </c>
    </row>
    <row r="2565" spans="1:1" x14ac:dyDescent="0.2">
      <c r="A2565">
        <v>9832.4777294113592</v>
      </c>
    </row>
    <row r="2566" spans="1:1" x14ac:dyDescent="0.2">
      <c r="A2566">
        <v>12473.703764020378</v>
      </c>
    </row>
    <row r="2567" spans="1:1" x14ac:dyDescent="0.2">
      <c r="A2567">
        <v>-3018.1917440533871</v>
      </c>
    </row>
    <row r="2568" spans="1:1" x14ac:dyDescent="0.2">
      <c r="A2568">
        <v>18343.183229903312</v>
      </c>
    </row>
    <row r="2569" spans="1:1" x14ac:dyDescent="0.2">
      <c r="A2569">
        <v>683.32501844695071</v>
      </c>
    </row>
    <row r="2570" spans="1:1" x14ac:dyDescent="0.2">
      <c r="A2570">
        <v>3624.8877935922646</v>
      </c>
    </row>
    <row r="2571" spans="1:1" x14ac:dyDescent="0.2">
      <c r="A2571">
        <v>-13105.962438377377</v>
      </c>
    </row>
    <row r="2572" spans="1:1" x14ac:dyDescent="0.2">
      <c r="A2572">
        <v>7436.4913689218229</v>
      </c>
    </row>
    <row r="2573" spans="1:1" x14ac:dyDescent="0.2">
      <c r="A2573">
        <v>11642.591892521072</v>
      </c>
    </row>
    <row r="2574" spans="1:1" x14ac:dyDescent="0.2">
      <c r="A2574">
        <v>805.63567307009362</v>
      </c>
    </row>
    <row r="2575" spans="1:1" x14ac:dyDescent="0.2">
      <c r="A2575">
        <v>1550.8622115471517</v>
      </c>
    </row>
    <row r="2576" spans="1:1" x14ac:dyDescent="0.2">
      <c r="A2576">
        <v>14638.256729321409</v>
      </c>
    </row>
    <row r="2577" spans="1:1" x14ac:dyDescent="0.2">
      <c r="A2577">
        <v>-12213.393408347823</v>
      </c>
    </row>
    <row r="2578" spans="1:1" x14ac:dyDescent="0.2">
      <c r="A2578">
        <v>-12683.68820068863</v>
      </c>
    </row>
    <row r="2579" spans="1:1" x14ac:dyDescent="0.2">
      <c r="A2579">
        <v>8242.4694883782649</v>
      </c>
    </row>
    <row r="2580" spans="1:1" x14ac:dyDescent="0.2">
      <c r="A2580">
        <v>-6160.020295902912</v>
      </c>
    </row>
    <row r="2581" spans="1:1" x14ac:dyDescent="0.2">
      <c r="A2581">
        <v>3299.4105135310674</v>
      </c>
    </row>
    <row r="2582" spans="1:1" x14ac:dyDescent="0.2">
      <c r="A2582">
        <v>-9831.2404398710351</v>
      </c>
    </row>
    <row r="2583" spans="1:1" x14ac:dyDescent="0.2">
      <c r="A2583">
        <v>6408.5758376984159</v>
      </c>
    </row>
    <row r="2584" spans="1:1" x14ac:dyDescent="0.2">
      <c r="A2584">
        <v>2946.9175816729257</v>
      </c>
    </row>
    <row r="2585" spans="1:1" x14ac:dyDescent="0.2">
      <c r="A2585">
        <v>17985.224681919703</v>
      </c>
    </row>
    <row r="2586" spans="1:1" x14ac:dyDescent="0.2">
      <c r="A2586">
        <v>2061.936689601047</v>
      </c>
    </row>
    <row r="2587" spans="1:1" x14ac:dyDescent="0.2">
      <c r="A2587">
        <v>-6014.583615052863</v>
      </c>
    </row>
    <row r="2588" spans="1:1" x14ac:dyDescent="0.2">
      <c r="A2588">
        <v>-9258.9952457617037</v>
      </c>
    </row>
    <row r="2589" spans="1:1" x14ac:dyDescent="0.2">
      <c r="A2589">
        <v>-5264.2097440095968</v>
      </c>
    </row>
    <row r="2590" spans="1:1" x14ac:dyDescent="0.2">
      <c r="A2590">
        <v>-16530.2159416012</v>
      </c>
    </row>
    <row r="2591" spans="1:1" x14ac:dyDescent="0.2">
      <c r="A2591">
        <v>7836.4351474585128</v>
      </c>
    </row>
    <row r="2592" spans="1:1" x14ac:dyDescent="0.2">
      <c r="A2592">
        <v>-3761.8434173936548</v>
      </c>
    </row>
    <row r="2593" spans="1:1" x14ac:dyDescent="0.2">
      <c r="A2593">
        <v>-8009.6332866100129</v>
      </c>
    </row>
    <row r="2594" spans="1:1" x14ac:dyDescent="0.2">
      <c r="A2594">
        <v>18787.800276799331</v>
      </c>
    </row>
    <row r="2595" spans="1:1" x14ac:dyDescent="0.2">
      <c r="A2595">
        <v>7704.4394336830883</v>
      </c>
    </row>
    <row r="2596" spans="1:1" x14ac:dyDescent="0.2">
      <c r="A2596">
        <v>17025.958715902991</v>
      </c>
    </row>
    <row r="2597" spans="1:1" x14ac:dyDescent="0.2">
      <c r="A2597">
        <v>16769.577459215885</v>
      </c>
    </row>
    <row r="2598" spans="1:1" x14ac:dyDescent="0.2">
      <c r="A2598">
        <v>3212.5662218958023</v>
      </c>
    </row>
    <row r="2599" spans="1:1" x14ac:dyDescent="0.2">
      <c r="A2599">
        <v>-1853.3202440687455</v>
      </c>
    </row>
    <row r="2600" spans="1:1" x14ac:dyDescent="0.2">
      <c r="A2600">
        <v>2123.2755989693105</v>
      </c>
    </row>
    <row r="2601" spans="1:1" x14ac:dyDescent="0.2">
      <c r="A2601">
        <v>8168.3190552712767</v>
      </c>
    </row>
    <row r="2602" spans="1:1" x14ac:dyDescent="0.2">
      <c r="A2602">
        <v>3749.8463201241102</v>
      </c>
    </row>
    <row r="2603" spans="1:1" x14ac:dyDescent="0.2">
      <c r="A2603">
        <v>-2277.6013064108556</v>
      </c>
    </row>
    <row r="2604" spans="1:1" x14ac:dyDescent="0.2">
      <c r="A2604">
        <v>-6944.3693248123745</v>
      </c>
    </row>
    <row r="2605" spans="1:1" x14ac:dyDescent="0.2">
      <c r="A2605">
        <v>-3105.8462073047413</v>
      </c>
    </row>
    <row r="2606" spans="1:1" x14ac:dyDescent="0.2">
      <c r="A2606">
        <v>-12761.133329054079</v>
      </c>
    </row>
    <row r="2607" spans="1:1" x14ac:dyDescent="0.2">
      <c r="A2607">
        <v>9069.953143481689</v>
      </c>
    </row>
    <row r="2608" spans="1:1" x14ac:dyDescent="0.2">
      <c r="A2608">
        <v>15220.548822051001</v>
      </c>
    </row>
    <row r="2609" spans="1:1" x14ac:dyDescent="0.2">
      <c r="A2609">
        <v>-1694.7648167668376</v>
      </c>
    </row>
    <row r="2610" spans="1:1" x14ac:dyDescent="0.2">
      <c r="A2610">
        <v>-1268.7620439747116</v>
      </c>
    </row>
    <row r="2611" spans="1:1" x14ac:dyDescent="0.2">
      <c r="A2611">
        <v>-11845.586325459881</v>
      </c>
    </row>
    <row r="2612" spans="1:1" x14ac:dyDescent="0.2">
      <c r="A2612">
        <v>21184.689722745548</v>
      </c>
    </row>
    <row r="2613" spans="1:1" x14ac:dyDescent="0.2">
      <c r="A2613">
        <v>10193.455486681691</v>
      </c>
    </row>
    <row r="2614" spans="1:1" x14ac:dyDescent="0.2">
      <c r="A2614">
        <v>6310.6708589479094</v>
      </c>
    </row>
    <row r="2615" spans="1:1" x14ac:dyDescent="0.2">
      <c r="A2615">
        <v>-2331.1379474916321</v>
      </c>
    </row>
    <row r="2616" spans="1:1" x14ac:dyDescent="0.2">
      <c r="A2616">
        <v>1218.4355901890958</v>
      </c>
    </row>
    <row r="2617" spans="1:1" x14ac:dyDescent="0.2">
      <c r="A2617">
        <v>-766.28996508556884</v>
      </c>
    </row>
    <row r="2618" spans="1:1" x14ac:dyDescent="0.2">
      <c r="A2618">
        <v>-163.99453563231509</v>
      </c>
    </row>
    <row r="2619" spans="1:1" x14ac:dyDescent="0.2">
      <c r="A2619">
        <v>8451.6164034031099</v>
      </c>
    </row>
    <row r="2620" spans="1:1" x14ac:dyDescent="0.2">
      <c r="A2620">
        <v>6015.8845622163499</v>
      </c>
    </row>
    <row r="2621" spans="1:1" x14ac:dyDescent="0.2">
      <c r="A2621">
        <v>-9506.95792559447</v>
      </c>
    </row>
    <row r="2622" spans="1:1" x14ac:dyDescent="0.2">
      <c r="A2622">
        <v>6623.6456913778384</v>
      </c>
    </row>
    <row r="2623" spans="1:1" x14ac:dyDescent="0.2">
      <c r="A2623">
        <v>23317.917468978776</v>
      </c>
    </row>
    <row r="2624" spans="1:1" x14ac:dyDescent="0.2">
      <c r="A2624">
        <v>2232.0614386954694</v>
      </c>
    </row>
    <row r="2625" spans="1:1" x14ac:dyDescent="0.2">
      <c r="A2625">
        <v>-4417.2396901353786</v>
      </c>
    </row>
    <row r="2626" spans="1:1" x14ac:dyDescent="0.2">
      <c r="A2626">
        <v>467.35438937606523</v>
      </c>
    </row>
    <row r="2627" spans="1:1" x14ac:dyDescent="0.2">
      <c r="A2627">
        <v>-6402.7902486527601</v>
      </c>
    </row>
    <row r="2628" spans="1:1" x14ac:dyDescent="0.2">
      <c r="A2628">
        <v>8059.9452971492719</v>
      </c>
    </row>
    <row r="2629" spans="1:1" x14ac:dyDescent="0.2">
      <c r="A2629">
        <v>4530.1251240411075</v>
      </c>
    </row>
    <row r="2630" spans="1:1" x14ac:dyDescent="0.2">
      <c r="A2630">
        <v>2329.6110071270377</v>
      </c>
    </row>
    <row r="2631" spans="1:1" x14ac:dyDescent="0.2">
      <c r="A2631">
        <v>-6123.6157865645073</v>
      </c>
    </row>
    <row r="2632" spans="1:1" x14ac:dyDescent="0.2">
      <c r="A2632">
        <v>-1476.9259879273595</v>
      </c>
    </row>
    <row r="2633" spans="1:1" x14ac:dyDescent="0.2">
      <c r="A2633">
        <v>-2625.8112656507874</v>
      </c>
    </row>
    <row r="2634" spans="1:1" x14ac:dyDescent="0.2">
      <c r="A2634">
        <v>-3375.4433368013415</v>
      </c>
    </row>
    <row r="2635" spans="1:1" x14ac:dyDescent="0.2">
      <c r="A2635">
        <v>-4635.7261762714479</v>
      </c>
    </row>
    <row r="2636" spans="1:1" x14ac:dyDescent="0.2">
      <c r="A2636">
        <v>10746.963284978352</v>
      </c>
    </row>
    <row r="2637" spans="1:1" x14ac:dyDescent="0.2">
      <c r="A2637">
        <v>-3940.9772988823242</v>
      </c>
    </row>
    <row r="2638" spans="1:1" x14ac:dyDescent="0.2">
      <c r="A2638">
        <v>-5584.5424430977728</v>
      </c>
    </row>
    <row r="2639" spans="1:1" x14ac:dyDescent="0.2">
      <c r="A2639">
        <v>6252.439673576795</v>
      </c>
    </row>
    <row r="2640" spans="1:1" x14ac:dyDescent="0.2">
      <c r="A2640">
        <v>-4894.8804482623818</v>
      </c>
    </row>
    <row r="2641" spans="1:1" x14ac:dyDescent="0.2">
      <c r="A2641">
        <v>-2765.3106030351191</v>
      </c>
    </row>
    <row r="2642" spans="1:1" x14ac:dyDescent="0.2">
      <c r="A2642">
        <v>8792.932246607088</v>
      </c>
    </row>
    <row r="2643" spans="1:1" x14ac:dyDescent="0.2">
      <c r="A2643">
        <v>-209.52045517979423</v>
      </c>
    </row>
    <row r="2644" spans="1:1" x14ac:dyDescent="0.2">
      <c r="A2644">
        <v>-26788.2518472909</v>
      </c>
    </row>
    <row r="2645" spans="1:1" x14ac:dyDescent="0.2">
      <c r="A2645">
        <v>13750.552955443214</v>
      </c>
    </row>
    <row r="2646" spans="1:1" x14ac:dyDescent="0.2">
      <c r="A2646">
        <v>-13508.079092356435</v>
      </c>
    </row>
    <row r="2647" spans="1:1" x14ac:dyDescent="0.2">
      <c r="A2647">
        <v>10684.611165562179</v>
      </c>
    </row>
    <row r="2648" spans="1:1" x14ac:dyDescent="0.2">
      <c r="A2648">
        <v>-1706.174842720211</v>
      </c>
    </row>
    <row r="2649" spans="1:1" x14ac:dyDescent="0.2">
      <c r="A2649">
        <v>5174.1837811314908</v>
      </c>
    </row>
    <row r="2650" spans="1:1" x14ac:dyDescent="0.2">
      <c r="A2650">
        <v>10321.521595724858</v>
      </c>
    </row>
    <row r="2651" spans="1:1" x14ac:dyDescent="0.2">
      <c r="A2651">
        <v>-8256.5561699965619</v>
      </c>
    </row>
    <row r="2652" spans="1:1" x14ac:dyDescent="0.2">
      <c r="A2652">
        <v>-11812.004783342243</v>
      </c>
    </row>
    <row r="2653" spans="1:1" x14ac:dyDescent="0.2">
      <c r="A2653">
        <v>371.21775668050395</v>
      </c>
    </row>
    <row r="2654" spans="1:1" x14ac:dyDescent="0.2">
      <c r="A2654">
        <v>2316.9232446292299</v>
      </c>
    </row>
    <row r="2655" spans="1:1" x14ac:dyDescent="0.2">
      <c r="A2655">
        <v>11115.022318090952</v>
      </c>
    </row>
    <row r="2656" spans="1:1" x14ac:dyDescent="0.2">
      <c r="A2656">
        <v>12512.502990717592</v>
      </c>
    </row>
    <row r="2657" spans="1:1" x14ac:dyDescent="0.2">
      <c r="A2657">
        <v>1450.214318206301</v>
      </c>
    </row>
    <row r="2658" spans="1:1" x14ac:dyDescent="0.2">
      <c r="A2658">
        <v>-1151.6080677966238</v>
      </c>
    </row>
    <row r="2659" spans="1:1" x14ac:dyDescent="0.2">
      <c r="A2659">
        <v>-12490.255135841144</v>
      </c>
    </row>
    <row r="2660" spans="1:1" x14ac:dyDescent="0.2">
      <c r="A2660">
        <v>10725.772889075801</v>
      </c>
    </row>
    <row r="2661" spans="1:1" x14ac:dyDescent="0.2">
      <c r="A2661">
        <v>-12461.421436119388</v>
      </c>
    </row>
    <row r="2662" spans="1:1" x14ac:dyDescent="0.2">
      <c r="A2662">
        <v>-7007.8572708626161</v>
      </c>
    </row>
    <row r="2663" spans="1:1" x14ac:dyDescent="0.2">
      <c r="A2663">
        <v>4857.1419252424384</v>
      </c>
    </row>
    <row r="2664" spans="1:1" x14ac:dyDescent="0.2">
      <c r="A2664">
        <v>-1826.3422866794281</v>
      </c>
    </row>
    <row r="2665" spans="1:1" x14ac:dyDescent="0.2">
      <c r="A2665">
        <v>3787.3357965989271</v>
      </c>
    </row>
    <row r="2666" spans="1:1" x14ac:dyDescent="0.2">
      <c r="A2666">
        <v>2163.5264368072094</v>
      </c>
    </row>
    <row r="2667" spans="1:1" x14ac:dyDescent="0.2">
      <c r="A2667">
        <v>5391.8153891915572</v>
      </c>
    </row>
    <row r="2668" spans="1:1" x14ac:dyDescent="0.2">
      <c r="A2668">
        <v>1033.0448625972494</v>
      </c>
    </row>
    <row r="2669" spans="1:1" x14ac:dyDescent="0.2">
      <c r="A2669">
        <v>10079.456019623933</v>
      </c>
    </row>
    <row r="2670" spans="1:1" x14ac:dyDescent="0.2">
      <c r="A2670">
        <v>11981.772469073738</v>
      </c>
    </row>
    <row r="2671" spans="1:1" x14ac:dyDescent="0.2">
      <c r="A2671">
        <v>1488.4517337536672</v>
      </c>
    </row>
    <row r="2672" spans="1:1" x14ac:dyDescent="0.2">
      <c r="A2672">
        <v>-10328.585441927135</v>
      </c>
    </row>
    <row r="2673" spans="1:1" x14ac:dyDescent="0.2">
      <c r="A2673">
        <v>3637.0792807487596</v>
      </c>
    </row>
    <row r="2674" spans="1:1" x14ac:dyDescent="0.2">
      <c r="A2674">
        <v>-12376.717679398949</v>
      </c>
    </row>
    <row r="2675" spans="1:1" x14ac:dyDescent="0.2">
      <c r="A2675">
        <v>-4007.2352055786178</v>
      </c>
    </row>
    <row r="2676" spans="1:1" x14ac:dyDescent="0.2">
      <c r="A2676">
        <v>0.27977902971906587</v>
      </c>
    </row>
    <row r="2677" spans="1:1" x14ac:dyDescent="0.2">
      <c r="A2677">
        <v>15920.853156284604</v>
      </c>
    </row>
    <row r="2678" spans="1:1" x14ac:dyDescent="0.2">
      <c r="A2678">
        <v>6680.4668170385994</v>
      </c>
    </row>
    <row r="2679" spans="1:1" x14ac:dyDescent="0.2">
      <c r="A2679">
        <v>-4000.2570926004555</v>
      </c>
    </row>
    <row r="2680" spans="1:1" x14ac:dyDescent="0.2">
      <c r="A2680">
        <v>1776.858213719097</v>
      </c>
    </row>
    <row r="2681" spans="1:1" x14ac:dyDescent="0.2">
      <c r="A2681">
        <v>-14126.503646088822</v>
      </c>
    </row>
    <row r="2682" spans="1:1" x14ac:dyDescent="0.2">
      <c r="A2682">
        <v>6914.3597605765681</v>
      </c>
    </row>
    <row r="2683" spans="1:1" x14ac:dyDescent="0.2">
      <c r="A2683">
        <v>-1043.1051072467235</v>
      </c>
    </row>
    <row r="2684" spans="1:1" x14ac:dyDescent="0.2">
      <c r="A2684">
        <v>11505.329595424409</v>
      </c>
    </row>
    <row r="2685" spans="1:1" x14ac:dyDescent="0.2">
      <c r="A2685">
        <v>4436.1695690999913</v>
      </c>
    </row>
    <row r="2686" spans="1:1" x14ac:dyDescent="0.2">
      <c r="A2686">
        <v>4196.011740756745</v>
      </c>
    </row>
    <row r="2687" spans="1:1" x14ac:dyDescent="0.2">
      <c r="A2687">
        <v>-5027.3072615940182</v>
      </c>
    </row>
    <row r="2688" spans="1:1" x14ac:dyDescent="0.2">
      <c r="A2688">
        <v>6722.7426607515954</v>
      </c>
    </row>
    <row r="2689" spans="1:1" x14ac:dyDescent="0.2">
      <c r="A2689">
        <v>-3253.0416963812604</v>
      </c>
    </row>
    <row r="2690" spans="1:1" x14ac:dyDescent="0.2">
      <c r="A2690">
        <v>2234.5179091378523</v>
      </c>
    </row>
    <row r="2691" spans="1:1" x14ac:dyDescent="0.2">
      <c r="A2691">
        <v>7176.7939147101424</v>
      </c>
    </row>
    <row r="2692" spans="1:1" x14ac:dyDescent="0.2">
      <c r="A2692">
        <v>-15363.736206848989</v>
      </c>
    </row>
    <row r="2693" spans="1:1" x14ac:dyDescent="0.2">
      <c r="A2693">
        <v>7624.3245209438028</v>
      </c>
    </row>
    <row r="2694" spans="1:1" x14ac:dyDescent="0.2">
      <c r="A2694">
        <v>1600.9845874338062</v>
      </c>
    </row>
    <row r="2695" spans="1:1" x14ac:dyDescent="0.2">
      <c r="A2695">
        <v>2896.8101849323721</v>
      </c>
    </row>
    <row r="2696" spans="1:1" x14ac:dyDescent="0.2">
      <c r="A2696">
        <v>2644.0821357038221</v>
      </c>
    </row>
    <row r="2697" spans="1:1" x14ac:dyDescent="0.2">
      <c r="A2697">
        <v>-4044.1592739687767</v>
      </c>
    </row>
    <row r="2698" spans="1:1" x14ac:dyDescent="0.2">
      <c r="A2698">
        <v>8367.3687996187946</v>
      </c>
    </row>
    <row r="2699" spans="1:1" x14ac:dyDescent="0.2">
      <c r="A2699">
        <v>-2884.4575825281499</v>
      </c>
    </row>
    <row r="2700" spans="1:1" x14ac:dyDescent="0.2">
      <c r="A2700">
        <v>8119.5925890321669</v>
      </c>
    </row>
    <row r="2701" spans="1:1" x14ac:dyDescent="0.2">
      <c r="A2701">
        <v>15755.776106032223</v>
      </c>
    </row>
    <row r="2702" spans="1:1" x14ac:dyDescent="0.2">
      <c r="A2702">
        <v>477.20007094572065</v>
      </c>
    </row>
    <row r="2703" spans="1:1" x14ac:dyDescent="0.2">
      <c r="A2703">
        <v>4124.9149837603618</v>
      </c>
    </row>
    <row r="2704" spans="1:1" x14ac:dyDescent="0.2">
      <c r="A2704">
        <v>12122.475735730579</v>
      </c>
    </row>
    <row r="2705" spans="1:1" x14ac:dyDescent="0.2">
      <c r="A2705">
        <v>19442.693703395489</v>
      </c>
    </row>
    <row r="2706" spans="1:1" x14ac:dyDescent="0.2">
      <c r="A2706">
        <v>2058.7346640196047</v>
      </c>
    </row>
    <row r="2707" spans="1:1" x14ac:dyDescent="0.2">
      <c r="A2707">
        <v>273.02194441054598</v>
      </c>
    </row>
    <row r="2708" spans="1:1" x14ac:dyDescent="0.2">
      <c r="A2708">
        <v>18982.815501829988</v>
      </c>
    </row>
    <row r="2709" spans="1:1" x14ac:dyDescent="0.2">
      <c r="A2709">
        <v>6546.5033064751187</v>
      </c>
    </row>
    <row r="2710" spans="1:1" x14ac:dyDescent="0.2">
      <c r="A2710">
        <v>11524.661414181202</v>
      </c>
    </row>
    <row r="2711" spans="1:1" x14ac:dyDescent="0.2">
      <c r="A2711">
        <v>13586.96144273816</v>
      </c>
    </row>
    <row r="2712" spans="1:1" x14ac:dyDescent="0.2">
      <c r="A2712">
        <v>-12147.138706731901</v>
      </c>
    </row>
    <row r="2713" spans="1:1" x14ac:dyDescent="0.2">
      <c r="A2713">
        <v>-1120.319764663931</v>
      </c>
    </row>
    <row r="2714" spans="1:1" x14ac:dyDescent="0.2">
      <c r="A2714">
        <v>16068.918707682227</v>
      </c>
    </row>
    <row r="2715" spans="1:1" x14ac:dyDescent="0.2">
      <c r="A2715">
        <v>-186.68355481090839</v>
      </c>
    </row>
    <row r="2716" spans="1:1" x14ac:dyDescent="0.2">
      <c r="A2716">
        <v>16774.893966128147</v>
      </c>
    </row>
    <row r="2717" spans="1:1" x14ac:dyDescent="0.2">
      <c r="A2717">
        <v>4413.1413814352563</v>
      </c>
    </row>
    <row r="2718" spans="1:1" x14ac:dyDescent="0.2">
      <c r="A2718">
        <v>-7243.2332560402574</v>
      </c>
    </row>
    <row r="2719" spans="1:1" x14ac:dyDescent="0.2">
      <c r="A2719">
        <v>2604.9653619794117</v>
      </c>
    </row>
    <row r="2720" spans="1:1" x14ac:dyDescent="0.2">
      <c r="A2720">
        <v>6522.9394714786613</v>
      </c>
    </row>
    <row r="2721" spans="1:1" x14ac:dyDescent="0.2">
      <c r="A2721">
        <v>-1674.31698034078</v>
      </c>
    </row>
    <row r="2722" spans="1:1" x14ac:dyDescent="0.2">
      <c r="A2722">
        <v>-6178.9517409370164</v>
      </c>
    </row>
    <row r="2723" spans="1:1" x14ac:dyDescent="0.2">
      <c r="A2723">
        <v>-4943.9228247551364</v>
      </c>
    </row>
    <row r="2724" spans="1:1" x14ac:dyDescent="0.2">
      <c r="A2724">
        <v>-9254.506492927263</v>
      </c>
    </row>
    <row r="2725" spans="1:1" x14ac:dyDescent="0.2">
      <c r="A2725">
        <v>-17529.810636658513</v>
      </c>
    </row>
    <row r="2726" spans="1:1" x14ac:dyDescent="0.2">
      <c r="A2726">
        <v>4951.453034504375</v>
      </c>
    </row>
    <row r="2727" spans="1:1" x14ac:dyDescent="0.2">
      <c r="A2727">
        <v>-12047.793175364292</v>
      </c>
    </row>
    <row r="2728" spans="1:1" x14ac:dyDescent="0.2">
      <c r="A2728">
        <v>210.34339868335519</v>
      </c>
    </row>
    <row r="2729" spans="1:1" x14ac:dyDescent="0.2">
      <c r="A2729">
        <v>3842.0720493726549</v>
      </c>
    </row>
    <row r="2730" spans="1:1" x14ac:dyDescent="0.2">
      <c r="A2730">
        <v>-1709.0596977663809</v>
      </c>
    </row>
    <row r="2731" spans="1:1" x14ac:dyDescent="0.2">
      <c r="A2731">
        <v>-481.18971768434858</v>
      </c>
    </row>
    <row r="2732" spans="1:1" x14ac:dyDescent="0.2">
      <c r="A2732">
        <v>6926.5503203357803</v>
      </c>
    </row>
    <row r="2733" spans="1:1" x14ac:dyDescent="0.2">
      <c r="A2733">
        <v>4113.0329215581296</v>
      </c>
    </row>
    <row r="2734" spans="1:1" x14ac:dyDescent="0.2">
      <c r="A2734">
        <v>-10699.901646545855</v>
      </c>
    </row>
    <row r="2735" spans="1:1" x14ac:dyDescent="0.2">
      <c r="A2735">
        <v>-24668.699866410927</v>
      </c>
    </row>
    <row r="2736" spans="1:1" x14ac:dyDescent="0.2">
      <c r="A2736">
        <v>-7277.0194807004591</v>
      </c>
    </row>
    <row r="2737" spans="1:1" x14ac:dyDescent="0.2">
      <c r="A2737">
        <v>-15197.936703170417</v>
      </c>
    </row>
    <row r="2738" spans="1:1" x14ac:dyDescent="0.2">
      <c r="A2738">
        <v>11545.98080059496</v>
      </c>
    </row>
    <row r="2739" spans="1:1" x14ac:dyDescent="0.2">
      <c r="A2739">
        <v>8138.988074489811</v>
      </c>
    </row>
    <row r="2740" spans="1:1" x14ac:dyDescent="0.2">
      <c r="A2740">
        <v>-10159.274338321353</v>
      </c>
    </row>
    <row r="2741" spans="1:1" x14ac:dyDescent="0.2">
      <c r="A2741">
        <v>-8156.4560860201309</v>
      </c>
    </row>
    <row r="2742" spans="1:1" x14ac:dyDescent="0.2">
      <c r="A2742">
        <v>6615.3694321356597</v>
      </c>
    </row>
    <row r="2743" spans="1:1" x14ac:dyDescent="0.2">
      <c r="A2743">
        <v>-20742.813977666781</v>
      </c>
    </row>
    <row r="2744" spans="1:1" x14ac:dyDescent="0.2">
      <c r="A2744">
        <v>-448.12537304463331</v>
      </c>
    </row>
    <row r="2745" spans="1:1" x14ac:dyDescent="0.2">
      <c r="A2745">
        <v>-6716.9675015776593</v>
      </c>
    </row>
    <row r="2746" spans="1:1" x14ac:dyDescent="0.2">
      <c r="A2746">
        <v>-10347.443069483765</v>
      </c>
    </row>
    <row r="2747" spans="1:1" x14ac:dyDescent="0.2">
      <c r="A2747">
        <v>10241.29275922192</v>
      </c>
    </row>
    <row r="2748" spans="1:1" x14ac:dyDescent="0.2">
      <c r="A2748">
        <v>4759.4166187313676</v>
      </c>
    </row>
    <row r="2749" spans="1:1" x14ac:dyDescent="0.2">
      <c r="A2749">
        <v>-13178.10246650211</v>
      </c>
    </row>
    <row r="2750" spans="1:1" x14ac:dyDescent="0.2">
      <c r="A2750">
        <v>1821.4153866939596</v>
      </c>
    </row>
    <row r="2751" spans="1:1" x14ac:dyDescent="0.2">
      <c r="A2751">
        <v>-2159.5989600289031</v>
      </c>
    </row>
    <row r="2752" spans="1:1" x14ac:dyDescent="0.2">
      <c r="A2752">
        <v>-17103.71595475229</v>
      </c>
    </row>
    <row r="2753" spans="1:1" x14ac:dyDescent="0.2">
      <c r="A2753">
        <v>922.65832663342007</v>
      </c>
    </row>
    <row r="2754" spans="1:1" x14ac:dyDescent="0.2">
      <c r="A2754">
        <v>1419.4722552999447</v>
      </c>
    </row>
    <row r="2755" spans="1:1" x14ac:dyDescent="0.2">
      <c r="A2755">
        <v>-6784.4299810765078</v>
      </c>
    </row>
    <row r="2756" spans="1:1" x14ac:dyDescent="0.2">
      <c r="A2756">
        <v>1877.2294480651908</v>
      </c>
    </row>
    <row r="2757" spans="1:1" x14ac:dyDescent="0.2">
      <c r="A2757">
        <v>-2456.3239100687788</v>
      </c>
    </row>
    <row r="2758" spans="1:1" x14ac:dyDescent="0.2">
      <c r="A2758">
        <v>2960.085410964326</v>
      </c>
    </row>
    <row r="2759" spans="1:1" x14ac:dyDescent="0.2">
      <c r="A2759">
        <v>4901.5453442087746</v>
      </c>
    </row>
    <row r="2760" spans="1:1" x14ac:dyDescent="0.2">
      <c r="A2760">
        <v>-5950.4344026554609</v>
      </c>
    </row>
    <row r="2761" spans="1:1" x14ac:dyDescent="0.2">
      <c r="A2761">
        <v>2615.0596181146102</v>
      </c>
    </row>
    <row r="2762" spans="1:1" x14ac:dyDescent="0.2">
      <c r="A2762">
        <v>8364.9121392003435</v>
      </c>
    </row>
    <row r="2763" spans="1:1" x14ac:dyDescent="0.2">
      <c r="A2763">
        <v>8676.3707837579132</v>
      </c>
    </row>
    <row r="2764" spans="1:1" x14ac:dyDescent="0.2">
      <c r="A2764">
        <v>-1843.0532902727136</v>
      </c>
    </row>
    <row r="2765" spans="1:1" x14ac:dyDescent="0.2">
      <c r="A2765">
        <v>16534.541884518549</v>
      </c>
    </row>
    <row r="2766" spans="1:1" x14ac:dyDescent="0.2">
      <c r="A2766">
        <v>-12531.879477391543</v>
      </c>
    </row>
    <row r="2767" spans="1:1" x14ac:dyDescent="0.2">
      <c r="A2767">
        <v>-1021.8029232635454</v>
      </c>
    </row>
    <row r="2768" spans="1:1" x14ac:dyDescent="0.2">
      <c r="A2768">
        <v>-11870.863177759835</v>
      </c>
    </row>
    <row r="2769" spans="1:1" x14ac:dyDescent="0.2">
      <c r="A2769">
        <v>-14976.248147935956</v>
      </c>
    </row>
    <row r="2770" spans="1:1" x14ac:dyDescent="0.2">
      <c r="A2770">
        <v>2338.8472662968561</v>
      </c>
    </row>
    <row r="2771" spans="1:1" x14ac:dyDescent="0.2">
      <c r="A2771">
        <v>19581.986921459466</v>
      </c>
    </row>
    <row r="2772" spans="1:1" x14ac:dyDescent="0.2">
      <c r="A2772">
        <v>10814.613192432967</v>
      </c>
    </row>
    <row r="2773" spans="1:1" x14ac:dyDescent="0.2">
      <c r="A2773">
        <v>8933.3054963368922</v>
      </c>
    </row>
    <row r="2774" spans="1:1" x14ac:dyDescent="0.2">
      <c r="A2774">
        <v>-5943.4946148218587</v>
      </c>
    </row>
    <row r="2775" spans="1:1" x14ac:dyDescent="0.2">
      <c r="A2775">
        <v>9470.0997848710977</v>
      </c>
    </row>
    <row r="2776" spans="1:1" x14ac:dyDescent="0.2">
      <c r="A2776">
        <v>9238.9479698765208</v>
      </c>
    </row>
    <row r="2777" spans="1:1" x14ac:dyDescent="0.2">
      <c r="A2777">
        <v>8017.3025210258202</v>
      </c>
    </row>
    <row r="2778" spans="1:1" x14ac:dyDescent="0.2">
      <c r="A2778">
        <v>22582.766990280303</v>
      </c>
    </row>
    <row r="2779" spans="1:1" x14ac:dyDescent="0.2">
      <c r="A2779">
        <v>12346.318215516309</v>
      </c>
    </row>
    <row r="2780" spans="1:1" x14ac:dyDescent="0.2">
      <c r="A2780">
        <v>11137.275619510387</v>
      </c>
    </row>
    <row r="2781" spans="1:1" x14ac:dyDescent="0.2">
      <c r="A2781">
        <v>-3885.9084791060886</v>
      </c>
    </row>
    <row r="2782" spans="1:1" x14ac:dyDescent="0.2">
      <c r="A2782">
        <v>6254.8249257254356</v>
      </c>
    </row>
    <row r="2783" spans="1:1" x14ac:dyDescent="0.2">
      <c r="A2783">
        <v>-7776.2263137894333</v>
      </c>
    </row>
    <row r="2784" spans="1:1" x14ac:dyDescent="0.2">
      <c r="A2784">
        <v>-2880.9716047265101</v>
      </c>
    </row>
    <row r="2785" spans="1:1" x14ac:dyDescent="0.2">
      <c r="A2785">
        <v>16174.401721887989</v>
      </c>
    </row>
    <row r="2786" spans="1:1" x14ac:dyDescent="0.2">
      <c r="A2786">
        <v>5458.0507329863904</v>
      </c>
    </row>
    <row r="2787" spans="1:1" x14ac:dyDescent="0.2">
      <c r="A2787">
        <v>-18426.705867485958</v>
      </c>
    </row>
    <row r="2788" spans="1:1" x14ac:dyDescent="0.2">
      <c r="A2788">
        <v>16521.755744133086</v>
      </c>
    </row>
    <row r="2789" spans="1:1" x14ac:dyDescent="0.2">
      <c r="A2789">
        <v>-20361.723619277298</v>
      </c>
    </row>
    <row r="2790" spans="1:1" x14ac:dyDescent="0.2">
      <c r="A2790">
        <v>20379.782260662498</v>
      </c>
    </row>
    <row r="2791" spans="1:1" x14ac:dyDescent="0.2">
      <c r="A2791">
        <v>1379.6576743765909</v>
      </c>
    </row>
    <row r="2792" spans="1:1" x14ac:dyDescent="0.2">
      <c r="A2792">
        <v>-6200.8527154645999</v>
      </c>
    </row>
    <row r="2793" spans="1:1" x14ac:dyDescent="0.2">
      <c r="A2793">
        <v>-10293.523026028939</v>
      </c>
    </row>
    <row r="2794" spans="1:1" x14ac:dyDescent="0.2">
      <c r="A2794">
        <v>8944.2050089729892</v>
      </c>
    </row>
    <row r="2795" spans="1:1" x14ac:dyDescent="0.2">
      <c r="A2795">
        <v>-36.32881946436828</v>
      </c>
    </row>
    <row r="2796" spans="1:1" x14ac:dyDescent="0.2">
      <c r="A2796">
        <v>11387.117494683829</v>
      </c>
    </row>
    <row r="2797" spans="1:1" x14ac:dyDescent="0.2">
      <c r="A2797">
        <v>-3220.1624860019365</v>
      </c>
    </row>
    <row r="2798" spans="1:1" x14ac:dyDescent="0.2">
      <c r="A2798">
        <v>-7955.1312945449608</v>
      </c>
    </row>
    <row r="2799" spans="1:1" x14ac:dyDescent="0.2">
      <c r="A2799">
        <v>-22354.978379752458</v>
      </c>
    </row>
    <row r="2800" spans="1:1" x14ac:dyDescent="0.2">
      <c r="A2800">
        <v>6458.908676258754</v>
      </c>
    </row>
    <row r="2801" spans="1:1" x14ac:dyDescent="0.2">
      <c r="A2801">
        <v>-4582.8176514684455</v>
      </c>
    </row>
    <row r="2802" spans="1:1" x14ac:dyDescent="0.2">
      <c r="A2802">
        <v>18079.628765472269</v>
      </c>
    </row>
    <row r="2803" spans="1:1" x14ac:dyDescent="0.2">
      <c r="A2803">
        <v>-1819.9664970582235</v>
      </c>
    </row>
    <row r="2804" spans="1:1" x14ac:dyDescent="0.2">
      <c r="A2804">
        <v>-13563.749175973993</v>
      </c>
    </row>
    <row r="2805" spans="1:1" x14ac:dyDescent="0.2">
      <c r="A2805">
        <v>27325.78579659533</v>
      </c>
    </row>
    <row r="2806" spans="1:1" x14ac:dyDescent="0.2">
      <c r="A2806">
        <v>7568.1439127943595</v>
      </c>
    </row>
    <row r="2807" spans="1:1" x14ac:dyDescent="0.2">
      <c r="A2807">
        <v>5577.8902734990115</v>
      </c>
    </row>
    <row r="2808" spans="1:1" x14ac:dyDescent="0.2">
      <c r="A2808">
        <v>7829.8756415988901</v>
      </c>
    </row>
    <row r="2809" spans="1:1" x14ac:dyDescent="0.2">
      <c r="A2809">
        <v>-6805.7564011025243</v>
      </c>
    </row>
    <row r="2810" spans="1:1" x14ac:dyDescent="0.2">
      <c r="A2810">
        <v>-10147.520833463001</v>
      </c>
    </row>
    <row r="2811" spans="1:1" x14ac:dyDescent="0.2">
      <c r="A2811">
        <v>4921.1792135463329</v>
      </c>
    </row>
    <row r="2812" spans="1:1" x14ac:dyDescent="0.2">
      <c r="A2812">
        <v>-12075.554998634354</v>
      </c>
    </row>
    <row r="2813" spans="1:1" x14ac:dyDescent="0.2">
      <c r="A2813">
        <v>1239.8572010505304</v>
      </c>
    </row>
    <row r="2814" spans="1:1" x14ac:dyDescent="0.2">
      <c r="A2814">
        <v>-26185.831476468535</v>
      </c>
    </row>
    <row r="2815" spans="1:1" x14ac:dyDescent="0.2">
      <c r="A2815">
        <v>13012.93462651025</v>
      </c>
    </row>
    <row r="2816" spans="1:1" x14ac:dyDescent="0.2">
      <c r="A2816">
        <v>-8181.9592589950771</v>
      </c>
    </row>
    <row r="2817" spans="1:1" x14ac:dyDescent="0.2">
      <c r="A2817">
        <v>2200.2097438335768</v>
      </c>
    </row>
    <row r="2818" spans="1:1" x14ac:dyDescent="0.2">
      <c r="A2818">
        <v>4081.6196293816029</v>
      </c>
    </row>
    <row r="2819" spans="1:1" x14ac:dyDescent="0.2">
      <c r="A2819">
        <v>-6380.4723182292073</v>
      </c>
    </row>
    <row r="2820" spans="1:1" x14ac:dyDescent="0.2">
      <c r="A2820">
        <v>11961.7948480536</v>
      </c>
    </row>
    <row r="2821" spans="1:1" x14ac:dyDescent="0.2">
      <c r="A2821">
        <v>-1162.2384793838137</v>
      </c>
    </row>
    <row r="2822" spans="1:1" x14ac:dyDescent="0.2">
      <c r="A2822">
        <v>-1810.58233565517</v>
      </c>
    </row>
    <row r="2823" spans="1:1" x14ac:dyDescent="0.2">
      <c r="A2823">
        <v>1377.9124448095681</v>
      </c>
    </row>
    <row r="2824" spans="1:1" x14ac:dyDescent="0.2">
      <c r="A2824">
        <v>-16025.471705552278</v>
      </c>
    </row>
    <row r="2825" spans="1:1" x14ac:dyDescent="0.2">
      <c r="A2825">
        <v>-2325.5872874622582</v>
      </c>
    </row>
    <row r="2826" spans="1:1" x14ac:dyDescent="0.2">
      <c r="A2826">
        <v>12540.0091810718</v>
      </c>
    </row>
    <row r="2827" spans="1:1" x14ac:dyDescent="0.2">
      <c r="A2827">
        <v>1569.3445823816</v>
      </c>
    </row>
    <row r="2828" spans="1:1" x14ac:dyDescent="0.2">
      <c r="A2828">
        <v>-7543.159591194446</v>
      </c>
    </row>
    <row r="2829" spans="1:1" x14ac:dyDescent="0.2">
      <c r="A2829">
        <v>18306.389736339217</v>
      </c>
    </row>
    <row r="2830" spans="1:1" x14ac:dyDescent="0.2">
      <c r="A2830">
        <v>-48.315360252163373</v>
      </c>
    </row>
    <row r="2831" spans="1:1" x14ac:dyDescent="0.2">
      <c r="A2831">
        <v>-5176.2246892498806</v>
      </c>
    </row>
    <row r="2832" spans="1:1" x14ac:dyDescent="0.2">
      <c r="A2832">
        <v>-10001.279819375894</v>
      </c>
    </row>
    <row r="2833" spans="1:1" x14ac:dyDescent="0.2">
      <c r="A2833">
        <v>-984.58511465488118</v>
      </c>
    </row>
    <row r="2834" spans="1:1" x14ac:dyDescent="0.2">
      <c r="A2834">
        <v>5130.0783107893367</v>
      </c>
    </row>
    <row r="2835" spans="1:1" x14ac:dyDescent="0.2">
      <c r="A2835">
        <v>471.7292975774908</v>
      </c>
    </row>
    <row r="2836" spans="1:1" x14ac:dyDescent="0.2">
      <c r="A2836">
        <v>-3839.8758394151228</v>
      </c>
    </row>
    <row r="2837" spans="1:1" x14ac:dyDescent="0.2">
      <c r="A2837">
        <v>9750.3069275532034</v>
      </c>
    </row>
    <row r="2838" spans="1:1" x14ac:dyDescent="0.2">
      <c r="A2838">
        <v>3175.4634129033366</v>
      </c>
    </row>
    <row r="2839" spans="1:1" x14ac:dyDescent="0.2">
      <c r="A2839">
        <v>-6176.9392168624327</v>
      </c>
    </row>
    <row r="2840" spans="1:1" x14ac:dyDescent="0.2">
      <c r="A2840">
        <v>-9955.8942368904245</v>
      </c>
    </row>
    <row r="2841" spans="1:1" x14ac:dyDescent="0.2">
      <c r="A2841">
        <v>8196.0090857628966</v>
      </c>
    </row>
    <row r="2842" spans="1:1" x14ac:dyDescent="0.2">
      <c r="A2842">
        <v>3685.4728441344923</v>
      </c>
    </row>
    <row r="2843" spans="1:1" x14ac:dyDescent="0.2">
      <c r="A2843">
        <v>-12834.245605069853</v>
      </c>
    </row>
    <row r="2844" spans="1:1" x14ac:dyDescent="0.2">
      <c r="A2844">
        <v>4319.2005741413741</v>
      </c>
    </row>
    <row r="2845" spans="1:1" x14ac:dyDescent="0.2">
      <c r="A2845">
        <v>-11580.910240728233</v>
      </c>
    </row>
    <row r="2846" spans="1:1" x14ac:dyDescent="0.2">
      <c r="A2846">
        <v>1697.8159293320496</v>
      </c>
    </row>
    <row r="2847" spans="1:1" x14ac:dyDescent="0.2">
      <c r="A2847">
        <v>-8261.0003264111583</v>
      </c>
    </row>
    <row r="2848" spans="1:1" x14ac:dyDescent="0.2">
      <c r="A2848">
        <v>-6929.9481703547644</v>
      </c>
    </row>
    <row r="2849" spans="1:1" x14ac:dyDescent="0.2">
      <c r="A2849">
        <v>13373.360672697047</v>
      </c>
    </row>
    <row r="2850" spans="1:1" x14ac:dyDescent="0.2">
      <c r="A2850">
        <v>13083.866686957801</v>
      </c>
    </row>
    <row r="2851" spans="1:1" x14ac:dyDescent="0.2">
      <c r="A2851">
        <v>5080.4183501025545</v>
      </c>
    </row>
    <row r="2852" spans="1:1" x14ac:dyDescent="0.2">
      <c r="A2852">
        <v>6357.4671705934452</v>
      </c>
    </row>
    <row r="2853" spans="1:1" x14ac:dyDescent="0.2">
      <c r="A2853">
        <v>2688.5558516250167</v>
      </c>
    </row>
    <row r="2854" spans="1:1" x14ac:dyDescent="0.2">
      <c r="A2854">
        <v>-8121.9200747880386</v>
      </c>
    </row>
    <row r="2855" spans="1:1" x14ac:dyDescent="0.2">
      <c r="A2855">
        <v>-7033.6785851793829</v>
      </c>
    </row>
    <row r="2856" spans="1:1" x14ac:dyDescent="0.2">
      <c r="A2856">
        <v>2189.5076186441001</v>
      </c>
    </row>
    <row r="2857" spans="1:1" x14ac:dyDescent="0.2">
      <c r="A2857">
        <v>11.12154993286822</v>
      </c>
    </row>
    <row r="2858" spans="1:1" x14ac:dyDescent="0.2">
      <c r="A2858">
        <v>1006.2741869730817</v>
      </c>
    </row>
    <row r="2859" spans="1:1" x14ac:dyDescent="0.2">
      <c r="A2859">
        <v>11768.743849436258</v>
      </c>
    </row>
    <row r="2860" spans="1:1" x14ac:dyDescent="0.2">
      <c r="A2860">
        <v>-16421.537004192243</v>
      </c>
    </row>
    <row r="2861" spans="1:1" x14ac:dyDescent="0.2">
      <c r="A2861">
        <v>7831.5976967815368</v>
      </c>
    </row>
    <row r="2862" spans="1:1" x14ac:dyDescent="0.2">
      <c r="A2862">
        <v>-5749.5467673596577</v>
      </c>
    </row>
    <row r="2863" spans="1:1" x14ac:dyDescent="0.2">
      <c r="A2863">
        <v>11150.782351584756</v>
      </c>
    </row>
    <row r="2864" spans="1:1" x14ac:dyDescent="0.2">
      <c r="A2864">
        <v>10334.553685850115</v>
      </c>
    </row>
    <row r="2865" spans="1:1" x14ac:dyDescent="0.2">
      <c r="A2865">
        <v>-3137.9190780526842</v>
      </c>
    </row>
    <row r="2866" spans="1:1" x14ac:dyDescent="0.2">
      <c r="A2866">
        <v>14284.876884048223</v>
      </c>
    </row>
    <row r="2867" spans="1:1" x14ac:dyDescent="0.2">
      <c r="A2867">
        <v>-6061.6509191888617</v>
      </c>
    </row>
    <row r="2868" spans="1:1" x14ac:dyDescent="0.2">
      <c r="A2868">
        <v>2240.2399631716544</v>
      </c>
    </row>
    <row r="2869" spans="1:1" x14ac:dyDescent="0.2">
      <c r="A2869">
        <v>21818.149712064391</v>
      </c>
    </row>
    <row r="2870" spans="1:1" x14ac:dyDescent="0.2">
      <c r="A2870">
        <v>-3330.5750227614044</v>
      </c>
    </row>
    <row r="2871" spans="1:1" x14ac:dyDescent="0.2">
      <c r="A2871">
        <v>-15537.663319738669</v>
      </c>
    </row>
    <row r="2872" spans="1:1" x14ac:dyDescent="0.2">
      <c r="A2872">
        <v>10844.68061304919</v>
      </c>
    </row>
    <row r="2873" spans="1:1" x14ac:dyDescent="0.2">
      <c r="A2873">
        <v>5628.7644914315897</v>
      </c>
    </row>
    <row r="2874" spans="1:1" x14ac:dyDescent="0.2">
      <c r="A2874">
        <v>-3801.8352839864965</v>
      </c>
    </row>
    <row r="2875" spans="1:1" x14ac:dyDescent="0.2">
      <c r="A2875">
        <v>-8414.3406823783298</v>
      </c>
    </row>
    <row r="2876" spans="1:1" x14ac:dyDescent="0.2">
      <c r="A2876">
        <v>-4027.6748273702106</v>
      </c>
    </row>
    <row r="2877" spans="1:1" x14ac:dyDescent="0.2">
      <c r="A2877">
        <v>-1611.2255049675587</v>
      </c>
    </row>
    <row r="2878" spans="1:1" x14ac:dyDescent="0.2">
      <c r="A2878">
        <v>7899.3216860346438</v>
      </c>
    </row>
    <row r="2879" spans="1:1" x14ac:dyDescent="0.2">
      <c r="A2879">
        <v>23296.275697699108</v>
      </c>
    </row>
    <row r="2880" spans="1:1" x14ac:dyDescent="0.2">
      <c r="A2880">
        <v>17741.244029535475</v>
      </c>
    </row>
    <row r="2881" spans="1:1" x14ac:dyDescent="0.2">
      <c r="A2881">
        <v>2287.0618078286061</v>
      </c>
    </row>
    <row r="2882" spans="1:1" x14ac:dyDescent="0.2">
      <c r="A2882">
        <v>-11942.059324188769</v>
      </c>
    </row>
    <row r="2883" spans="1:1" x14ac:dyDescent="0.2">
      <c r="A2883">
        <v>6900.5870634813327</v>
      </c>
    </row>
    <row r="2884" spans="1:1" x14ac:dyDescent="0.2">
      <c r="A2884">
        <v>5342.7098556308192</v>
      </c>
    </row>
    <row r="2885" spans="1:1" x14ac:dyDescent="0.2">
      <c r="A2885">
        <v>17287.152028247307</v>
      </c>
    </row>
    <row r="2886" spans="1:1" x14ac:dyDescent="0.2">
      <c r="A2886">
        <v>-3087.2217151800869</v>
      </c>
    </row>
    <row r="2887" spans="1:1" x14ac:dyDescent="0.2">
      <c r="A2887">
        <v>786.75763699738309</v>
      </c>
    </row>
    <row r="2888" spans="1:1" x14ac:dyDescent="0.2">
      <c r="A2888">
        <v>3515.9461240154924</v>
      </c>
    </row>
    <row r="2889" spans="1:1" x14ac:dyDescent="0.2">
      <c r="A2889">
        <v>-2789.4275760254823</v>
      </c>
    </row>
    <row r="2890" spans="1:1" x14ac:dyDescent="0.2">
      <c r="A2890">
        <v>-11317.958894777461</v>
      </c>
    </row>
    <row r="2891" spans="1:1" x14ac:dyDescent="0.2">
      <c r="A2891">
        <v>65.959340783010703</v>
      </c>
    </row>
    <row r="2892" spans="1:1" x14ac:dyDescent="0.2">
      <c r="A2892">
        <v>-7003.0957067461568</v>
      </c>
    </row>
    <row r="2893" spans="1:1" x14ac:dyDescent="0.2">
      <c r="A2893">
        <v>7422.0173301520408</v>
      </c>
    </row>
    <row r="2894" spans="1:1" x14ac:dyDescent="0.2">
      <c r="A2894">
        <v>6753.6781449745176</v>
      </c>
    </row>
    <row r="2895" spans="1:1" x14ac:dyDescent="0.2">
      <c r="A2895">
        <v>1391.9542550881742</v>
      </c>
    </row>
    <row r="2896" spans="1:1" x14ac:dyDescent="0.2">
      <c r="A2896">
        <v>14454.291967592988</v>
      </c>
    </row>
    <row r="2897" spans="1:1" x14ac:dyDescent="0.2">
      <c r="A2897">
        <v>1015.1123364985979</v>
      </c>
    </row>
    <row r="2898" spans="1:1" x14ac:dyDescent="0.2">
      <c r="A2898">
        <v>13570.631649332732</v>
      </c>
    </row>
    <row r="2899" spans="1:1" x14ac:dyDescent="0.2">
      <c r="A2899">
        <v>14125.115750698227</v>
      </c>
    </row>
    <row r="2900" spans="1:1" x14ac:dyDescent="0.2">
      <c r="A2900">
        <v>7863.6980672852078</v>
      </c>
    </row>
    <row r="2901" spans="1:1" x14ac:dyDescent="0.2">
      <c r="A2901">
        <v>-3099.6547778608219</v>
      </c>
    </row>
    <row r="2902" spans="1:1" x14ac:dyDescent="0.2">
      <c r="A2902">
        <v>-3266.4783173824544</v>
      </c>
    </row>
    <row r="2903" spans="1:1" x14ac:dyDescent="0.2">
      <c r="A2903">
        <v>-3967.0267794965766</v>
      </c>
    </row>
    <row r="2904" spans="1:1" x14ac:dyDescent="0.2">
      <c r="A2904">
        <v>-1945.6348540542531</v>
      </c>
    </row>
    <row r="2905" spans="1:1" x14ac:dyDescent="0.2">
      <c r="A2905">
        <v>11503.607797022618</v>
      </c>
    </row>
    <row r="2906" spans="1:1" x14ac:dyDescent="0.2">
      <c r="A2906">
        <v>-26533.925202485756</v>
      </c>
    </row>
    <row r="2907" spans="1:1" x14ac:dyDescent="0.2">
      <c r="A2907">
        <v>6739.550912233477</v>
      </c>
    </row>
    <row r="2908" spans="1:1" x14ac:dyDescent="0.2">
      <c r="A2908">
        <v>-1463.8369112206856</v>
      </c>
    </row>
    <row r="2909" spans="1:1" x14ac:dyDescent="0.2">
      <c r="A2909">
        <v>13553.399149570119</v>
      </c>
    </row>
    <row r="2910" spans="1:1" x14ac:dyDescent="0.2">
      <c r="A2910">
        <v>2724.4820796595304</v>
      </c>
    </row>
    <row r="2911" spans="1:1" x14ac:dyDescent="0.2">
      <c r="A2911">
        <v>3413.4890402923047</v>
      </c>
    </row>
    <row r="2912" spans="1:1" x14ac:dyDescent="0.2">
      <c r="A2912">
        <v>4062.3042192237917</v>
      </c>
    </row>
    <row r="2913" spans="1:1" x14ac:dyDescent="0.2">
      <c r="A2913">
        <v>33280.49497186183</v>
      </c>
    </row>
    <row r="2914" spans="1:1" x14ac:dyDescent="0.2">
      <c r="A2914">
        <v>7299.0692377360538</v>
      </c>
    </row>
    <row r="2915" spans="1:1" x14ac:dyDescent="0.2">
      <c r="A2915">
        <v>2659.2000454812078</v>
      </c>
    </row>
    <row r="2916" spans="1:1" x14ac:dyDescent="0.2">
      <c r="A2916">
        <v>2605.6373329358175</v>
      </c>
    </row>
    <row r="2917" spans="1:1" x14ac:dyDescent="0.2">
      <c r="A2917">
        <v>12599.175704519483</v>
      </c>
    </row>
    <row r="2918" spans="1:1" x14ac:dyDescent="0.2">
      <c r="A2918">
        <v>2235.7161595172365</v>
      </c>
    </row>
    <row r="2919" spans="1:1" x14ac:dyDescent="0.2">
      <c r="A2919">
        <v>5946.7256704345928</v>
      </c>
    </row>
    <row r="2920" spans="1:1" x14ac:dyDescent="0.2">
      <c r="A2920">
        <v>4768.3812029317487</v>
      </c>
    </row>
    <row r="2921" spans="1:1" x14ac:dyDescent="0.2">
      <c r="A2921">
        <v>21468.233026214468</v>
      </c>
    </row>
    <row r="2922" spans="1:1" x14ac:dyDescent="0.2">
      <c r="A2922">
        <v>-2369.2964737607399</v>
      </c>
    </row>
    <row r="2923" spans="1:1" x14ac:dyDescent="0.2">
      <c r="A2923">
        <v>-4315.1661787891062</v>
      </c>
    </row>
    <row r="2924" spans="1:1" x14ac:dyDescent="0.2">
      <c r="A2924">
        <v>-10298.786131471279</v>
      </c>
    </row>
    <row r="2925" spans="1:1" x14ac:dyDescent="0.2">
      <c r="A2925">
        <v>7885.9332578547474</v>
      </c>
    </row>
    <row r="2926" spans="1:1" x14ac:dyDescent="0.2">
      <c r="A2926">
        <v>2510.0875388799468</v>
      </c>
    </row>
    <row r="2927" spans="1:1" x14ac:dyDescent="0.2">
      <c r="A2927">
        <v>4744.543179347238</v>
      </c>
    </row>
    <row r="2928" spans="1:1" x14ac:dyDescent="0.2">
      <c r="A2928">
        <v>6086.8472459840123</v>
      </c>
    </row>
    <row r="2929" spans="1:1" x14ac:dyDescent="0.2">
      <c r="A2929">
        <v>4664.1676451377862</v>
      </c>
    </row>
    <row r="2930" spans="1:1" x14ac:dyDescent="0.2">
      <c r="A2930">
        <v>1113.8873351099319</v>
      </c>
    </row>
    <row r="2931" spans="1:1" x14ac:dyDescent="0.2">
      <c r="A2931">
        <v>-8513.292291552003</v>
      </c>
    </row>
    <row r="2932" spans="1:1" x14ac:dyDescent="0.2">
      <c r="A2932">
        <v>-7903.546792535315</v>
      </c>
    </row>
    <row r="2933" spans="1:1" x14ac:dyDescent="0.2">
      <c r="A2933">
        <v>-124.54291348223342</v>
      </c>
    </row>
    <row r="2934" spans="1:1" x14ac:dyDescent="0.2">
      <c r="A2934">
        <v>5385.7067032330669</v>
      </c>
    </row>
    <row r="2935" spans="1:1" x14ac:dyDescent="0.2">
      <c r="A2935">
        <v>-5389.6905329352594</v>
      </c>
    </row>
    <row r="2936" spans="1:1" x14ac:dyDescent="0.2">
      <c r="A2936">
        <v>6001.838628463418</v>
      </c>
    </row>
    <row r="2937" spans="1:1" x14ac:dyDescent="0.2">
      <c r="A2937">
        <v>4741.4937708553043</v>
      </c>
    </row>
    <row r="2938" spans="1:1" x14ac:dyDescent="0.2">
      <c r="A2938">
        <v>-471.59022842542618</v>
      </c>
    </row>
    <row r="2939" spans="1:1" x14ac:dyDescent="0.2">
      <c r="A2939">
        <v>26521.898011605721</v>
      </c>
    </row>
    <row r="2940" spans="1:1" x14ac:dyDescent="0.2">
      <c r="A2940">
        <v>3358.146923565655</v>
      </c>
    </row>
    <row r="2941" spans="1:1" x14ac:dyDescent="0.2">
      <c r="A2941">
        <v>7288.6519979646837</v>
      </c>
    </row>
    <row r="2942" spans="1:1" x14ac:dyDescent="0.2">
      <c r="A2942">
        <v>-6721.6779156373814</v>
      </c>
    </row>
    <row r="2943" spans="1:1" x14ac:dyDescent="0.2">
      <c r="A2943">
        <v>7778.6767519331479</v>
      </c>
    </row>
    <row r="2944" spans="1:1" x14ac:dyDescent="0.2">
      <c r="A2944">
        <v>10888.466370961309</v>
      </c>
    </row>
    <row r="2945" spans="1:1" x14ac:dyDescent="0.2">
      <c r="A2945">
        <v>3581.2698752811993</v>
      </c>
    </row>
    <row r="2946" spans="1:1" x14ac:dyDescent="0.2">
      <c r="A2946">
        <v>9264.1498547955416</v>
      </c>
    </row>
    <row r="2947" spans="1:1" x14ac:dyDescent="0.2">
      <c r="A2947">
        <v>9923.778768809454</v>
      </c>
    </row>
    <row r="2948" spans="1:1" x14ac:dyDescent="0.2">
      <c r="A2948">
        <v>7887.2777916615014</v>
      </c>
    </row>
    <row r="2949" spans="1:1" x14ac:dyDescent="0.2">
      <c r="A2949">
        <v>-6738.1541522544576</v>
      </c>
    </row>
    <row r="2950" spans="1:1" x14ac:dyDescent="0.2">
      <c r="A2950">
        <v>10293.900838194255</v>
      </c>
    </row>
    <row r="2951" spans="1:1" x14ac:dyDescent="0.2">
      <c r="A2951">
        <v>-79.657400308380602</v>
      </c>
    </row>
    <row r="2952" spans="1:1" x14ac:dyDescent="0.2">
      <c r="A2952">
        <v>6908.7139127234113</v>
      </c>
    </row>
    <row r="2953" spans="1:1" x14ac:dyDescent="0.2">
      <c r="A2953">
        <v>-11276.808056059526</v>
      </c>
    </row>
    <row r="2954" spans="1:1" x14ac:dyDescent="0.2">
      <c r="A2954">
        <v>17699.162252268463</v>
      </c>
    </row>
    <row r="2955" spans="1:1" x14ac:dyDescent="0.2">
      <c r="A2955">
        <v>2817.1914393763873</v>
      </c>
    </row>
    <row r="2956" spans="1:1" x14ac:dyDescent="0.2">
      <c r="A2956">
        <v>-6524.7641670104349</v>
      </c>
    </row>
    <row r="2957" spans="1:1" x14ac:dyDescent="0.2">
      <c r="A2957">
        <v>-1667.013125329453</v>
      </c>
    </row>
    <row r="2958" spans="1:1" x14ac:dyDescent="0.2">
      <c r="A2958">
        <v>11801.41170048152</v>
      </c>
    </row>
    <row r="2959" spans="1:1" x14ac:dyDescent="0.2">
      <c r="A2959">
        <v>1507.7765360611374</v>
      </c>
    </row>
    <row r="2960" spans="1:1" x14ac:dyDescent="0.2">
      <c r="A2960">
        <v>9865.8500764082419</v>
      </c>
    </row>
    <row r="2961" spans="1:1" x14ac:dyDescent="0.2">
      <c r="A2961">
        <v>6914.4154545878991</v>
      </c>
    </row>
    <row r="2962" spans="1:1" x14ac:dyDescent="0.2">
      <c r="A2962">
        <v>4786.4102886228939</v>
      </c>
    </row>
    <row r="2963" spans="1:1" x14ac:dyDescent="0.2">
      <c r="A2963">
        <v>-2174.8883719721925</v>
      </c>
    </row>
    <row r="2964" spans="1:1" x14ac:dyDescent="0.2">
      <c r="A2964">
        <v>7848.0412812013528</v>
      </c>
    </row>
    <row r="2965" spans="1:1" x14ac:dyDescent="0.2">
      <c r="A2965">
        <v>-8367.7602122232784</v>
      </c>
    </row>
    <row r="2966" spans="1:1" x14ac:dyDescent="0.2">
      <c r="A2966">
        <v>10866.442228217347</v>
      </c>
    </row>
    <row r="2967" spans="1:1" x14ac:dyDescent="0.2">
      <c r="A2967">
        <v>3917.7126839655102</v>
      </c>
    </row>
    <row r="2968" spans="1:1" x14ac:dyDescent="0.2">
      <c r="A2968">
        <v>3059.6968276413972</v>
      </c>
    </row>
    <row r="2969" spans="1:1" x14ac:dyDescent="0.2">
      <c r="A2969">
        <v>-20774.921545627556</v>
      </c>
    </row>
    <row r="2970" spans="1:1" x14ac:dyDescent="0.2">
      <c r="A2970">
        <v>-10296.442074142076</v>
      </c>
    </row>
    <row r="2971" spans="1:1" x14ac:dyDescent="0.2">
      <c r="A2971">
        <v>-26734.189717683126</v>
      </c>
    </row>
    <row r="2972" spans="1:1" x14ac:dyDescent="0.2">
      <c r="A2972">
        <v>8266.829153011262</v>
      </c>
    </row>
    <row r="2973" spans="1:1" x14ac:dyDescent="0.2">
      <c r="A2973">
        <v>-35402.010289255821</v>
      </c>
    </row>
    <row r="2974" spans="1:1" x14ac:dyDescent="0.2">
      <c r="A2974">
        <v>10527.554765116947</v>
      </c>
    </row>
    <row r="2975" spans="1:1" x14ac:dyDescent="0.2">
      <c r="A2975">
        <v>-22719.734956347151</v>
      </c>
    </row>
    <row r="2976" spans="1:1" x14ac:dyDescent="0.2">
      <c r="A2976">
        <v>15614.958326284424</v>
      </c>
    </row>
    <row r="2977" spans="1:1" x14ac:dyDescent="0.2">
      <c r="A2977">
        <v>1940.9395554275834</v>
      </c>
    </row>
    <row r="2978" spans="1:1" x14ac:dyDescent="0.2">
      <c r="A2978">
        <v>4583.9186476973118</v>
      </c>
    </row>
    <row r="2979" spans="1:1" x14ac:dyDescent="0.2">
      <c r="A2979">
        <v>3533.3999303092714</v>
      </c>
    </row>
    <row r="2980" spans="1:1" x14ac:dyDescent="0.2">
      <c r="A2980">
        <v>10426.145419276902</v>
      </c>
    </row>
    <row r="2981" spans="1:1" x14ac:dyDescent="0.2">
      <c r="A2981">
        <v>6706.6635827158752</v>
      </c>
    </row>
    <row r="2982" spans="1:1" x14ac:dyDescent="0.2">
      <c r="A2982">
        <v>7146.0234644275624</v>
      </c>
    </row>
    <row r="2983" spans="1:1" x14ac:dyDescent="0.2">
      <c r="A2983">
        <v>8914.5470870194258</v>
      </c>
    </row>
    <row r="2984" spans="1:1" x14ac:dyDescent="0.2">
      <c r="A2984">
        <v>-997.65284956342657</v>
      </c>
    </row>
    <row r="2985" spans="1:1" x14ac:dyDescent="0.2">
      <c r="A2985">
        <v>4671.5740218169522</v>
      </c>
    </row>
    <row r="2986" spans="1:1" x14ac:dyDescent="0.2">
      <c r="A2986">
        <v>-8307.7432677454199</v>
      </c>
    </row>
    <row r="2987" spans="1:1" x14ac:dyDescent="0.2">
      <c r="A2987">
        <v>4245.8452255896991</v>
      </c>
    </row>
    <row r="2988" spans="1:1" x14ac:dyDescent="0.2">
      <c r="A2988">
        <v>-1239.2506347149611</v>
      </c>
    </row>
    <row r="2989" spans="1:1" x14ac:dyDescent="0.2">
      <c r="A2989">
        <v>11778.271461358119</v>
      </c>
    </row>
    <row r="2990" spans="1:1" x14ac:dyDescent="0.2">
      <c r="A2990">
        <v>15142.323581643839</v>
      </c>
    </row>
    <row r="2991" spans="1:1" x14ac:dyDescent="0.2">
      <c r="A2991">
        <v>-4114.481218133471</v>
      </c>
    </row>
    <row r="2992" spans="1:1" x14ac:dyDescent="0.2">
      <c r="A2992">
        <v>-5360.8327669680584</v>
      </c>
    </row>
    <row r="2993" spans="1:1" x14ac:dyDescent="0.2">
      <c r="A2993">
        <v>8362.2025073167169</v>
      </c>
    </row>
    <row r="2994" spans="1:1" x14ac:dyDescent="0.2">
      <c r="A2994">
        <v>12053.209443565109</v>
      </c>
    </row>
    <row r="2995" spans="1:1" x14ac:dyDescent="0.2">
      <c r="A2995">
        <v>6142.8106957498821</v>
      </c>
    </row>
    <row r="2996" spans="1:1" x14ac:dyDescent="0.2">
      <c r="A2996">
        <v>8249.579717600951</v>
      </c>
    </row>
    <row r="2997" spans="1:1" x14ac:dyDescent="0.2">
      <c r="A2997">
        <v>-475.99485932121752</v>
      </c>
    </row>
    <row r="2998" spans="1:1" x14ac:dyDescent="0.2">
      <c r="A2998">
        <v>-5327.3543711652746</v>
      </c>
    </row>
    <row r="2999" spans="1:1" x14ac:dyDescent="0.2">
      <c r="A2999">
        <v>1148.7469403891009</v>
      </c>
    </row>
    <row r="3000" spans="1:1" x14ac:dyDescent="0.2">
      <c r="A3000">
        <v>-8675.1651164179784</v>
      </c>
    </row>
    <row r="3001" spans="1:1" x14ac:dyDescent="0.2">
      <c r="A3001">
        <v>19803.155498694687</v>
      </c>
    </row>
    <row r="3002" spans="1:1" x14ac:dyDescent="0.2">
      <c r="A3002">
        <v>3246.1519722602388</v>
      </c>
    </row>
    <row r="3003" spans="1:1" x14ac:dyDescent="0.2">
      <c r="A3003">
        <v>-1613.3247730754083</v>
      </c>
    </row>
    <row r="3004" spans="1:1" x14ac:dyDescent="0.2">
      <c r="A3004">
        <v>-7688.8569799562974</v>
      </c>
    </row>
    <row r="3005" spans="1:1" x14ac:dyDescent="0.2">
      <c r="A3005">
        <v>8344.7495029829443</v>
      </c>
    </row>
    <row r="3006" spans="1:1" x14ac:dyDescent="0.2">
      <c r="A3006">
        <v>86.42618043924449</v>
      </c>
    </row>
    <row r="3007" spans="1:1" x14ac:dyDescent="0.2">
      <c r="A3007">
        <v>-7278.8726226562576</v>
      </c>
    </row>
    <row r="3008" spans="1:1" x14ac:dyDescent="0.2">
      <c r="A3008">
        <v>-11532.032206079806</v>
      </c>
    </row>
    <row r="3009" spans="1:1" x14ac:dyDescent="0.2">
      <c r="A3009">
        <v>4000.1033561041695</v>
      </c>
    </row>
    <row r="3010" spans="1:1" x14ac:dyDescent="0.2">
      <c r="A3010">
        <v>-5547.0707309314166</v>
      </c>
    </row>
    <row r="3011" spans="1:1" x14ac:dyDescent="0.2">
      <c r="A3011">
        <v>9946.4072871887474</v>
      </c>
    </row>
    <row r="3012" spans="1:1" x14ac:dyDescent="0.2">
      <c r="A3012">
        <v>17289.177533634691</v>
      </c>
    </row>
    <row r="3013" spans="1:1" x14ac:dyDescent="0.2">
      <c r="A3013">
        <v>7346.5688623477181</v>
      </c>
    </row>
    <row r="3014" spans="1:1" x14ac:dyDescent="0.2">
      <c r="A3014">
        <v>-3966.5768017849769</v>
      </c>
    </row>
    <row r="3015" spans="1:1" x14ac:dyDescent="0.2">
      <c r="A3015">
        <v>-3786.850047215441</v>
      </c>
    </row>
    <row r="3016" spans="1:1" x14ac:dyDescent="0.2">
      <c r="A3016">
        <v>10284.864902338682</v>
      </c>
    </row>
    <row r="3017" spans="1:1" x14ac:dyDescent="0.2">
      <c r="A3017">
        <v>2744.1770472235803</v>
      </c>
    </row>
    <row r="3018" spans="1:1" x14ac:dyDescent="0.2">
      <c r="A3018">
        <v>10221.280492674268</v>
      </c>
    </row>
    <row r="3019" spans="1:1" x14ac:dyDescent="0.2">
      <c r="A3019">
        <v>10791.410364687094</v>
      </c>
    </row>
    <row r="3020" spans="1:1" x14ac:dyDescent="0.2">
      <c r="A3020">
        <v>17137.470626498078</v>
      </c>
    </row>
    <row r="3021" spans="1:1" x14ac:dyDescent="0.2">
      <c r="A3021">
        <v>-2714.7528318468248</v>
      </c>
    </row>
    <row r="3022" spans="1:1" x14ac:dyDescent="0.2">
      <c r="A3022">
        <v>521.9178259925684</v>
      </c>
    </row>
    <row r="3023" spans="1:1" x14ac:dyDescent="0.2">
      <c r="A3023">
        <v>-455.31454307292006</v>
      </c>
    </row>
    <row r="3024" spans="1:1" x14ac:dyDescent="0.2">
      <c r="A3024">
        <v>-9742.0856416871538</v>
      </c>
    </row>
    <row r="3025" spans="1:1" x14ac:dyDescent="0.2">
      <c r="A3025">
        <v>-9630.8782400291529</v>
      </c>
    </row>
    <row r="3026" spans="1:1" x14ac:dyDescent="0.2">
      <c r="A3026">
        <v>14952.225323707535</v>
      </c>
    </row>
    <row r="3027" spans="1:1" x14ac:dyDescent="0.2">
      <c r="A3027">
        <v>-10427.861644836434</v>
      </c>
    </row>
    <row r="3028" spans="1:1" x14ac:dyDescent="0.2">
      <c r="A3028">
        <v>610.96553100389428</v>
      </c>
    </row>
    <row r="3029" spans="1:1" x14ac:dyDescent="0.2">
      <c r="A3029">
        <v>12806.220971965813</v>
      </c>
    </row>
    <row r="3030" spans="1:1" x14ac:dyDescent="0.2">
      <c r="A3030">
        <v>-77.010329830693081</v>
      </c>
    </row>
    <row r="3031" spans="1:1" x14ac:dyDescent="0.2">
      <c r="A3031">
        <v>-3393.5867358657415</v>
      </c>
    </row>
    <row r="3032" spans="1:1" x14ac:dyDescent="0.2">
      <c r="A3032">
        <v>20477.483996834897</v>
      </c>
    </row>
    <row r="3033" spans="1:1" x14ac:dyDescent="0.2">
      <c r="A3033">
        <v>5006.9688274181681</v>
      </c>
    </row>
    <row r="3034" spans="1:1" x14ac:dyDescent="0.2">
      <c r="A3034">
        <v>7613.714161864511</v>
      </c>
    </row>
    <row r="3035" spans="1:1" x14ac:dyDescent="0.2">
      <c r="A3035">
        <v>13552.784487419834</v>
      </c>
    </row>
    <row r="3036" spans="1:1" x14ac:dyDescent="0.2">
      <c r="A3036">
        <v>2079.0373413366615</v>
      </c>
    </row>
    <row r="3037" spans="1:1" x14ac:dyDescent="0.2">
      <c r="A3037">
        <v>818.37827601707249</v>
      </c>
    </row>
    <row r="3038" spans="1:1" x14ac:dyDescent="0.2">
      <c r="A3038">
        <v>-8253.3096376731992</v>
      </c>
    </row>
    <row r="3039" spans="1:1" x14ac:dyDescent="0.2">
      <c r="A3039">
        <v>3041.9320610291034</v>
      </c>
    </row>
    <row r="3040" spans="1:1" x14ac:dyDescent="0.2">
      <c r="A3040">
        <v>19939.548338166001</v>
      </c>
    </row>
    <row r="3041" spans="1:1" x14ac:dyDescent="0.2">
      <c r="A3041">
        <v>2173.112185647391</v>
      </c>
    </row>
    <row r="3042" spans="1:1" x14ac:dyDescent="0.2">
      <c r="A3042">
        <v>-3747.5977704287798</v>
      </c>
    </row>
    <row r="3043" spans="1:1" x14ac:dyDescent="0.2">
      <c r="A3043">
        <v>5820.995525357197</v>
      </c>
    </row>
    <row r="3044" spans="1:1" x14ac:dyDescent="0.2">
      <c r="A3044">
        <v>814.11082798153802</v>
      </c>
    </row>
    <row r="3045" spans="1:1" x14ac:dyDescent="0.2">
      <c r="A3045">
        <v>9503.4113708250225</v>
      </c>
    </row>
    <row r="3046" spans="1:1" x14ac:dyDescent="0.2">
      <c r="A3046">
        <v>-554.7362308530719</v>
      </c>
    </row>
    <row r="3047" spans="1:1" x14ac:dyDescent="0.2">
      <c r="A3047">
        <v>-3579.6413483119977</v>
      </c>
    </row>
    <row r="3048" spans="1:1" x14ac:dyDescent="0.2">
      <c r="A3048">
        <v>14865.638505658222</v>
      </c>
    </row>
    <row r="3049" spans="1:1" x14ac:dyDescent="0.2">
      <c r="A3049">
        <v>-2468.1351420168066</v>
      </c>
    </row>
    <row r="3050" spans="1:1" x14ac:dyDescent="0.2">
      <c r="A3050">
        <v>-11671.257473212259</v>
      </c>
    </row>
    <row r="3051" spans="1:1" x14ac:dyDescent="0.2">
      <c r="A3051">
        <v>13347.229486023251</v>
      </c>
    </row>
    <row r="3052" spans="1:1" x14ac:dyDescent="0.2">
      <c r="A3052">
        <v>-7554.2909255934646</v>
      </c>
    </row>
    <row r="3053" spans="1:1" x14ac:dyDescent="0.2">
      <c r="A3053">
        <v>16328.220359744504</v>
      </c>
    </row>
    <row r="3054" spans="1:1" x14ac:dyDescent="0.2">
      <c r="A3054">
        <v>-9172.8264165285509</v>
      </c>
    </row>
    <row r="3055" spans="1:1" x14ac:dyDescent="0.2">
      <c r="A3055">
        <v>934.05159351584734</v>
      </c>
    </row>
    <row r="3056" spans="1:1" x14ac:dyDescent="0.2">
      <c r="A3056">
        <v>12246.310812144598</v>
      </c>
    </row>
    <row r="3057" spans="1:1" x14ac:dyDescent="0.2">
      <c r="A3057">
        <v>7917.7740058494965</v>
      </c>
    </row>
    <row r="3058" spans="1:1" x14ac:dyDescent="0.2">
      <c r="A3058">
        <v>1005.3123263791203</v>
      </c>
    </row>
    <row r="3059" spans="1:1" x14ac:dyDescent="0.2">
      <c r="A3059">
        <v>9942.4305881375913</v>
      </c>
    </row>
    <row r="3060" spans="1:1" x14ac:dyDescent="0.2">
      <c r="A3060">
        <v>-7464.0771450999018</v>
      </c>
    </row>
    <row r="3061" spans="1:1" x14ac:dyDescent="0.2">
      <c r="A3061">
        <v>1190.8186501507298</v>
      </c>
    </row>
    <row r="3062" spans="1:1" x14ac:dyDescent="0.2">
      <c r="A3062">
        <v>-932.79869691599743</v>
      </c>
    </row>
    <row r="3063" spans="1:1" x14ac:dyDescent="0.2">
      <c r="A3063">
        <v>-9475.6993321696064</v>
      </c>
    </row>
    <row r="3064" spans="1:1" x14ac:dyDescent="0.2">
      <c r="A3064">
        <v>17540.275469162123</v>
      </c>
    </row>
    <row r="3065" spans="1:1" x14ac:dyDescent="0.2">
      <c r="A3065">
        <v>10797.880798030819</v>
      </c>
    </row>
    <row r="3066" spans="1:1" x14ac:dyDescent="0.2">
      <c r="A3066">
        <v>4636.1021978211647</v>
      </c>
    </row>
    <row r="3067" spans="1:1" x14ac:dyDescent="0.2">
      <c r="A3067">
        <v>10865.395432797843</v>
      </c>
    </row>
    <row r="3068" spans="1:1" x14ac:dyDescent="0.2">
      <c r="A3068">
        <v>3848.5540491495194</v>
      </c>
    </row>
    <row r="3069" spans="1:1" x14ac:dyDescent="0.2">
      <c r="A3069">
        <v>-3269.8784654698684</v>
      </c>
    </row>
    <row r="3070" spans="1:1" x14ac:dyDescent="0.2">
      <c r="A3070">
        <v>-10873.927162494976</v>
      </c>
    </row>
    <row r="3071" spans="1:1" x14ac:dyDescent="0.2">
      <c r="A3071">
        <v>316.81288969583693</v>
      </c>
    </row>
    <row r="3072" spans="1:1" x14ac:dyDescent="0.2">
      <c r="A3072">
        <v>15041.402052544407</v>
      </c>
    </row>
    <row r="3073" spans="1:1" x14ac:dyDescent="0.2">
      <c r="A3073">
        <v>9576.7851056482177</v>
      </c>
    </row>
    <row r="3074" spans="1:1" x14ac:dyDescent="0.2">
      <c r="A3074">
        <v>4728.5781309390441</v>
      </c>
    </row>
    <row r="3075" spans="1:1" x14ac:dyDescent="0.2">
      <c r="A3075">
        <v>7852.5816593519121</v>
      </c>
    </row>
    <row r="3076" spans="1:1" x14ac:dyDescent="0.2">
      <c r="A3076">
        <v>9890.5281964869355</v>
      </c>
    </row>
    <row r="3077" spans="1:1" x14ac:dyDescent="0.2">
      <c r="A3077">
        <v>4906.2106647302862</v>
      </c>
    </row>
    <row r="3078" spans="1:1" x14ac:dyDescent="0.2">
      <c r="A3078">
        <v>4909.9230063620489</v>
      </c>
    </row>
    <row r="3079" spans="1:1" x14ac:dyDescent="0.2">
      <c r="A3079">
        <v>14482.147241813189</v>
      </c>
    </row>
    <row r="3080" spans="1:1" x14ac:dyDescent="0.2">
      <c r="A3080">
        <v>-1742.1955617998319</v>
      </c>
    </row>
    <row r="3081" spans="1:1" x14ac:dyDescent="0.2">
      <c r="A3081">
        <v>3828.9606158788083</v>
      </c>
    </row>
    <row r="3082" spans="1:1" x14ac:dyDescent="0.2">
      <c r="A3082">
        <v>3826.2524447342439</v>
      </c>
    </row>
    <row r="3083" spans="1:1" x14ac:dyDescent="0.2">
      <c r="A3083">
        <v>6704.1862659403123</v>
      </c>
    </row>
    <row r="3084" spans="1:1" x14ac:dyDescent="0.2">
      <c r="A3084">
        <v>5557.2292531600106</v>
      </c>
    </row>
    <row r="3085" spans="1:1" x14ac:dyDescent="0.2">
      <c r="A3085">
        <v>-9951.8606913875556</v>
      </c>
    </row>
    <row r="3086" spans="1:1" x14ac:dyDescent="0.2">
      <c r="A3086">
        <v>3683.2721810401999</v>
      </c>
    </row>
    <row r="3087" spans="1:1" x14ac:dyDescent="0.2">
      <c r="A3087">
        <v>2556.8715088612516</v>
      </c>
    </row>
    <row r="3088" spans="1:1" x14ac:dyDescent="0.2">
      <c r="A3088">
        <v>-15927.512464745436</v>
      </c>
    </row>
    <row r="3089" spans="1:1" x14ac:dyDescent="0.2">
      <c r="A3089">
        <v>-6589.6477506323718</v>
      </c>
    </row>
    <row r="3090" spans="1:1" x14ac:dyDescent="0.2">
      <c r="A3090">
        <v>-5867.5870098732994</v>
      </c>
    </row>
    <row r="3091" spans="1:1" x14ac:dyDescent="0.2">
      <c r="A3091">
        <v>-14087.727854146855</v>
      </c>
    </row>
    <row r="3092" spans="1:1" x14ac:dyDescent="0.2">
      <c r="A3092">
        <v>-12349.005333944748</v>
      </c>
    </row>
    <row r="3093" spans="1:1" x14ac:dyDescent="0.2">
      <c r="A3093">
        <v>20038.3166299648</v>
      </c>
    </row>
    <row r="3094" spans="1:1" x14ac:dyDescent="0.2">
      <c r="A3094">
        <v>6196.4285902243573</v>
      </c>
    </row>
    <row r="3095" spans="1:1" x14ac:dyDescent="0.2">
      <c r="A3095">
        <v>-3899.4995495766634</v>
      </c>
    </row>
    <row r="3096" spans="1:1" x14ac:dyDescent="0.2">
      <c r="A3096">
        <v>-13650.333649135777</v>
      </c>
    </row>
    <row r="3097" spans="1:1" x14ac:dyDescent="0.2">
      <c r="A3097">
        <v>9155.7088155701058</v>
      </c>
    </row>
    <row r="3098" spans="1:1" x14ac:dyDescent="0.2">
      <c r="A3098">
        <v>-285.05207307497039</v>
      </c>
    </row>
    <row r="3099" spans="1:1" x14ac:dyDescent="0.2">
      <c r="A3099">
        <v>9508.5901642946992</v>
      </c>
    </row>
    <row r="3100" spans="1:1" x14ac:dyDescent="0.2">
      <c r="A3100">
        <v>3165.503826289787</v>
      </c>
    </row>
    <row r="3101" spans="1:1" x14ac:dyDescent="0.2">
      <c r="A3101">
        <v>2167.9129103460582</v>
      </c>
    </row>
    <row r="3102" spans="1:1" x14ac:dyDescent="0.2">
      <c r="A3102">
        <v>7434.1216460242867</v>
      </c>
    </row>
    <row r="3103" spans="1:1" x14ac:dyDescent="0.2">
      <c r="A3103">
        <v>5433.0307596397179</v>
      </c>
    </row>
    <row r="3104" spans="1:1" x14ac:dyDescent="0.2">
      <c r="A3104">
        <v>3053.5112087634043</v>
      </c>
    </row>
    <row r="3105" spans="1:1" x14ac:dyDescent="0.2">
      <c r="A3105">
        <v>-25333.235954413249</v>
      </c>
    </row>
    <row r="3106" spans="1:1" x14ac:dyDescent="0.2">
      <c r="A3106">
        <v>-2790.0322833260288</v>
      </c>
    </row>
    <row r="3107" spans="1:1" x14ac:dyDescent="0.2">
      <c r="A3107">
        <v>9168.1649764084432</v>
      </c>
    </row>
    <row r="3108" spans="1:1" x14ac:dyDescent="0.2">
      <c r="A3108">
        <v>-2883.3543437988264</v>
      </c>
    </row>
    <row r="3109" spans="1:1" x14ac:dyDescent="0.2">
      <c r="A3109">
        <v>11588.034489964222</v>
      </c>
    </row>
    <row r="3110" spans="1:1" x14ac:dyDescent="0.2">
      <c r="A3110">
        <v>1305.0453594585997</v>
      </c>
    </row>
    <row r="3111" spans="1:1" x14ac:dyDescent="0.2">
      <c r="A3111">
        <v>16572.396045478934</v>
      </c>
    </row>
    <row r="3112" spans="1:1" x14ac:dyDescent="0.2">
      <c r="A3112">
        <v>18068.734074447479</v>
      </c>
    </row>
    <row r="3113" spans="1:1" x14ac:dyDescent="0.2">
      <c r="A3113">
        <v>7989.194054223597</v>
      </c>
    </row>
    <row r="3114" spans="1:1" x14ac:dyDescent="0.2">
      <c r="A3114">
        <v>2661.7359763765126</v>
      </c>
    </row>
    <row r="3115" spans="1:1" x14ac:dyDescent="0.2">
      <c r="A3115">
        <v>11090.25665467279</v>
      </c>
    </row>
    <row r="3116" spans="1:1" x14ac:dyDescent="0.2">
      <c r="A3116">
        <v>-353.62074962753104</v>
      </c>
    </row>
    <row r="3117" spans="1:1" x14ac:dyDescent="0.2">
      <c r="A3117">
        <v>-484.0301686131279</v>
      </c>
    </row>
    <row r="3118" spans="1:1" x14ac:dyDescent="0.2">
      <c r="A3118">
        <v>-13.182241492089815</v>
      </c>
    </row>
    <row r="3119" spans="1:1" x14ac:dyDescent="0.2">
      <c r="A3119">
        <v>6539.5111111171718</v>
      </c>
    </row>
    <row r="3120" spans="1:1" x14ac:dyDescent="0.2">
      <c r="A3120">
        <v>-5619.7460764710559</v>
      </c>
    </row>
    <row r="3121" spans="1:1" x14ac:dyDescent="0.2">
      <c r="A3121">
        <v>-157.9303279062151</v>
      </c>
    </row>
    <row r="3122" spans="1:1" x14ac:dyDescent="0.2">
      <c r="A3122">
        <v>-9578.7360294483369</v>
      </c>
    </row>
    <row r="3123" spans="1:1" x14ac:dyDescent="0.2">
      <c r="A3123">
        <v>288.57963481423212</v>
      </c>
    </row>
    <row r="3124" spans="1:1" x14ac:dyDescent="0.2">
      <c r="A3124">
        <v>14285.808708868397</v>
      </c>
    </row>
    <row r="3125" spans="1:1" x14ac:dyDescent="0.2">
      <c r="A3125">
        <v>-1552.1236895769543</v>
      </c>
    </row>
    <row r="3126" spans="1:1" x14ac:dyDescent="0.2">
      <c r="A3126">
        <v>11124.136695144523</v>
      </c>
    </row>
    <row r="3127" spans="1:1" x14ac:dyDescent="0.2">
      <c r="A3127">
        <v>-4775.8120428377297</v>
      </c>
    </row>
    <row r="3128" spans="1:1" x14ac:dyDescent="0.2">
      <c r="A3128">
        <v>-8578.7682430922869</v>
      </c>
    </row>
    <row r="3129" spans="1:1" x14ac:dyDescent="0.2">
      <c r="A3129">
        <v>-17354.022136269021</v>
      </c>
    </row>
    <row r="3130" spans="1:1" x14ac:dyDescent="0.2">
      <c r="A3130">
        <v>-4320.6720139090612</v>
      </c>
    </row>
    <row r="3131" spans="1:1" x14ac:dyDescent="0.2">
      <c r="A3131">
        <v>-19345.253241197672</v>
      </c>
    </row>
    <row r="3132" spans="1:1" x14ac:dyDescent="0.2">
      <c r="A3132">
        <v>-973.30953072910779</v>
      </c>
    </row>
    <row r="3133" spans="1:1" x14ac:dyDescent="0.2">
      <c r="A3133">
        <v>4579.2889386379975</v>
      </c>
    </row>
    <row r="3134" spans="1:1" x14ac:dyDescent="0.2">
      <c r="A3134">
        <v>15572.917187996092</v>
      </c>
    </row>
    <row r="3135" spans="1:1" x14ac:dyDescent="0.2">
      <c r="A3135">
        <v>4567.8132159101078</v>
      </c>
    </row>
    <row r="3136" spans="1:1" x14ac:dyDescent="0.2">
      <c r="A3136">
        <v>-5201.805295435508</v>
      </c>
    </row>
    <row r="3137" spans="1:1" x14ac:dyDescent="0.2">
      <c r="A3137">
        <v>6826.1549164012831</v>
      </c>
    </row>
    <row r="3138" spans="1:1" x14ac:dyDescent="0.2">
      <c r="A3138">
        <v>5388.8589120949036</v>
      </c>
    </row>
    <row r="3139" spans="1:1" x14ac:dyDescent="0.2">
      <c r="A3139">
        <v>-21946.412870161177</v>
      </c>
    </row>
    <row r="3140" spans="1:1" x14ac:dyDescent="0.2">
      <c r="A3140">
        <v>548.13795130891958</v>
      </c>
    </row>
    <row r="3141" spans="1:1" x14ac:dyDescent="0.2">
      <c r="A3141">
        <v>5698.010372835357</v>
      </c>
    </row>
    <row r="3142" spans="1:1" x14ac:dyDescent="0.2">
      <c r="A3142">
        <v>10271.844233784766</v>
      </c>
    </row>
    <row r="3143" spans="1:1" x14ac:dyDescent="0.2">
      <c r="A3143">
        <v>13847.593159706274</v>
      </c>
    </row>
    <row r="3144" spans="1:1" x14ac:dyDescent="0.2">
      <c r="A3144">
        <v>12015.283408085146</v>
      </c>
    </row>
    <row r="3145" spans="1:1" x14ac:dyDescent="0.2">
      <c r="A3145">
        <v>4884.4237502026663</v>
      </c>
    </row>
    <row r="3146" spans="1:1" x14ac:dyDescent="0.2">
      <c r="A3146">
        <v>1461.8229662820522</v>
      </c>
    </row>
    <row r="3147" spans="1:1" x14ac:dyDescent="0.2">
      <c r="A3147">
        <v>9655.6353010161547</v>
      </c>
    </row>
    <row r="3148" spans="1:1" x14ac:dyDescent="0.2">
      <c r="A3148">
        <v>14849.854339695012</v>
      </c>
    </row>
    <row r="3149" spans="1:1" x14ac:dyDescent="0.2">
      <c r="A3149">
        <v>17436.282779032452</v>
      </c>
    </row>
    <row r="3150" spans="1:1" x14ac:dyDescent="0.2">
      <c r="A3150">
        <v>-8984.8212944730767</v>
      </c>
    </row>
    <row r="3151" spans="1:1" x14ac:dyDescent="0.2">
      <c r="A3151">
        <v>7345.0719710781996</v>
      </c>
    </row>
    <row r="3152" spans="1:1" x14ac:dyDescent="0.2">
      <c r="A3152">
        <v>-276.30509968686965</v>
      </c>
    </row>
    <row r="3153" spans="1:1" x14ac:dyDescent="0.2">
      <c r="A3153">
        <v>-11769.47727161966</v>
      </c>
    </row>
    <row r="3154" spans="1:1" x14ac:dyDescent="0.2">
      <c r="A3154">
        <v>-3331.1676939511963</v>
      </c>
    </row>
    <row r="3155" spans="1:1" x14ac:dyDescent="0.2">
      <c r="A3155">
        <v>4115.536401313846</v>
      </c>
    </row>
    <row r="3156" spans="1:1" x14ac:dyDescent="0.2">
      <c r="A3156">
        <v>25743.47377040179</v>
      </c>
    </row>
    <row r="3157" spans="1:1" x14ac:dyDescent="0.2">
      <c r="A3157">
        <v>11585.910944134055</v>
      </c>
    </row>
    <row r="3158" spans="1:1" x14ac:dyDescent="0.2">
      <c r="A3158">
        <v>-10968.705771769979</v>
      </c>
    </row>
    <row r="3159" spans="1:1" x14ac:dyDescent="0.2">
      <c r="A3159">
        <v>-5366.9458286797162</v>
      </c>
    </row>
    <row r="3160" spans="1:1" x14ac:dyDescent="0.2">
      <c r="A3160">
        <v>-26.169605145347305</v>
      </c>
    </row>
    <row r="3161" spans="1:1" x14ac:dyDescent="0.2">
      <c r="A3161">
        <v>1296.6428121228237</v>
      </c>
    </row>
    <row r="3162" spans="1:1" x14ac:dyDescent="0.2">
      <c r="A3162">
        <v>7720.5705822285381</v>
      </c>
    </row>
    <row r="3163" spans="1:1" x14ac:dyDescent="0.2">
      <c r="A3163">
        <v>3474.8780624079518</v>
      </c>
    </row>
    <row r="3164" spans="1:1" x14ac:dyDescent="0.2">
      <c r="A3164">
        <v>-2782.4241614916245</v>
      </c>
    </row>
    <row r="3165" spans="1:1" x14ac:dyDescent="0.2">
      <c r="A3165">
        <v>-16493.895380909904</v>
      </c>
    </row>
    <row r="3166" spans="1:1" x14ac:dyDescent="0.2">
      <c r="A3166">
        <v>-2192.3138773977989</v>
      </c>
    </row>
    <row r="3167" spans="1:1" x14ac:dyDescent="0.2">
      <c r="A3167">
        <v>3378.8108015969046</v>
      </c>
    </row>
    <row r="3168" spans="1:1" x14ac:dyDescent="0.2">
      <c r="A3168">
        <v>10307.474977480335</v>
      </c>
    </row>
    <row r="3169" spans="1:1" x14ac:dyDescent="0.2">
      <c r="A3169">
        <v>-14309.867928955413</v>
      </c>
    </row>
    <row r="3170" spans="1:1" x14ac:dyDescent="0.2">
      <c r="A3170">
        <v>3604.5017972139176</v>
      </c>
    </row>
    <row r="3171" spans="1:1" x14ac:dyDescent="0.2">
      <c r="A3171">
        <v>603.27763166159275</v>
      </c>
    </row>
    <row r="3172" spans="1:1" x14ac:dyDescent="0.2">
      <c r="A3172">
        <v>879.11289306235267</v>
      </c>
    </row>
    <row r="3173" spans="1:1" x14ac:dyDescent="0.2">
      <c r="A3173">
        <v>-10.338585840479936</v>
      </c>
    </row>
    <row r="3174" spans="1:1" x14ac:dyDescent="0.2">
      <c r="A3174">
        <v>-7179.9354142404336</v>
      </c>
    </row>
    <row r="3175" spans="1:1" x14ac:dyDescent="0.2">
      <c r="A3175">
        <v>-1664.5329977811489</v>
      </c>
    </row>
    <row r="3176" spans="1:1" x14ac:dyDescent="0.2">
      <c r="A3176">
        <v>6971.773910112388</v>
      </c>
    </row>
    <row r="3177" spans="1:1" x14ac:dyDescent="0.2">
      <c r="A3177">
        <v>7278.3438156491611</v>
      </c>
    </row>
    <row r="3178" spans="1:1" x14ac:dyDescent="0.2">
      <c r="A3178">
        <v>-9935.9107143597794</v>
      </c>
    </row>
    <row r="3179" spans="1:1" x14ac:dyDescent="0.2">
      <c r="A3179">
        <v>6550.083989684179</v>
      </c>
    </row>
    <row r="3180" spans="1:1" x14ac:dyDescent="0.2">
      <c r="A3180">
        <v>13205.045982468815</v>
      </c>
    </row>
    <row r="3181" spans="1:1" x14ac:dyDescent="0.2">
      <c r="A3181">
        <v>-5032.5444417909021</v>
      </c>
    </row>
    <row r="3182" spans="1:1" x14ac:dyDescent="0.2">
      <c r="A3182">
        <v>7946.950242338411</v>
      </c>
    </row>
    <row r="3183" spans="1:1" x14ac:dyDescent="0.2">
      <c r="A3183">
        <v>24612.809638220991</v>
      </c>
    </row>
    <row r="3184" spans="1:1" x14ac:dyDescent="0.2">
      <c r="A3184">
        <v>-17797.713014031819</v>
      </c>
    </row>
    <row r="3185" spans="1:1" x14ac:dyDescent="0.2">
      <c r="A3185">
        <v>16678.289302876074</v>
      </c>
    </row>
    <row r="3186" spans="1:1" x14ac:dyDescent="0.2">
      <c r="A3186">
        <v>21468.263453575317</v>
      </c>
    </row>
    <row r="3187" spans="1:1" x14ac:dyDescent="0.2">
      <c r="A3187">
        <v>6391.8982914688531</v>
      </c>
    </row>
    <row r="3188" spans="1:1" x14ac:dyDescent="0.2">
      <c r="A3188">
        <v>-5294.5132419427973</v>
      </c>
    </row>
    <row r="3189" spans="1:1" x14ac:dyDescent="0.2">
      <c r="A3189">
        <v>103.28957292623818</v>
      </c>
    </row>
    <row r="3190" spans="1:1" x14ac:dyDescent="0.2">
      <c r="A3190">
        <v>-3242.1815681252046</v>
      </c>
    </row>
    <row r="3191" spans="1:1" x14ac:dyDescent="0.2">
      <c r="A3191">
        <v>-5509.884563994885</v>
      </c>
    </row>
    <row r="3192" spans="1:1" x14ac:dyDescent="0.2">
      <c r="A3192">
        <v>6399.5501860457298</v>
      </c>
    </row>
    <row r="3193" spans="1:1" x14ac:dyDescent="0.2">
      <c r="A3193">
        <v>-712.75701608910458</v>
      </c>
    </row>
    <row r="3194" spans="1:1" x14ac:dyDescent="0.2">
      <c r="A3194">
        <v>-3866.0275314468308</v>
      </c>
    </row>
    <row r="3195" spans="1:1" x14ac:dyDescent="0.2">
      <c r="A3195">
        <v>9789.8008682479267</v>
      </c>
    </row>
    <row r="3196" spans="1:1" x14ac:dyDescent="0.2">
      <c r="A3196">
        <v>18830.527979045582</v>
      </c>
    </row>
    <row r="3197" spans="1:1" x14ac:dyDescent="0.2">
      <c r="A3197">
        <v>9457.1726699887367</v>
      </c>
    </row>
    <row r="3198" spans="1:1" x14ac:dyDescent="0.2">
      <c r="A3198">
        <v>-1706.9083420752431</v>
      </c>
    </row>
    <row r="3199" spans="1:1" x14ac:dyDescent="0.2">
      <c r="A3199">
        <v>-8057.5400347311806</v>
      </c>
    </row>
    <row r="3200" spans="1:1" x14ac:dyDescent="0.2">
      <c r="A3200">
        <v>-6217.8217799159465</v>
      </c>
    </row>
    <row r="3201" spans="1:1" x14ac:dyDescent="0.2">
      <c r="A3201">
        <v>3312.0302067666198</v>
      </c>
    </row>
    <row r="3202" spans="1:1" x14ac:dyDescent="0.2">
      <c r="A3202">
        <v>-9850.599748002307</v>
      </c>
    </row>
    <row r="3203" spans="1:1" x14ac:dyDescent="0.2">
      <c r="A3203">
        <v>2298.810822596628</v>
      </c>
    </row>
    <row r="3204" spans="1:1" x14ac:dyDescent="0.2">
      <c r="A3204">
        <v>8227.1768294548383</v>
      </c>
    </row>
    <row r="3205" spans="1:1" x14ac:dyDescent="0.2">
      <c r="A3205">
        <v>2099.2668278324127</v>
      </c>
    </row>
    <row r="3206" spans="1:1" x14ac:dyDescent="0.2">
      <c r="A3206">
        <v>2400.2675480060861</v>
      </c>
    </row>
    <row r="3207" spans="1:1" x14ac:dyDescent="0.2">
      <c r="A3207">
        <v>10546.358737689443</v>
      </c>
    </row>
    <row r="3208" spans="1:1" x14ac:dyDescent="0.2">
      <c r="A3208">
        <v>-368.34512751354487</v>
      </c>
    </row>
    <row r="3209" spans="1:1" x14ac:dyDescent="0.2">
      <c r="A3209">
        <v>5800.5797992711014</v>
      </c>
    </row>
    <row r="3210" spans="1:1" x14ac:dyDescent="0.2">
      <c r="A3210">
        <v>7813.2545010773465</v>
      </c>
    </row>
    <row r="3211" spans="1:1" x14ac:dyDescent="0.2">
      <c r="A3211">
        <v>-15458.364635881211</v>
      </c>
    </row>
    <row r="3212" spans="1:1" x14ac:dyDescent="0.2">
      <c r="A3212">
        <v>2536.6870121507382</v>
      </c>
    </row>
    <row r="3213" spans="1:1" x14ac:dyDescent="0.2">
      <c r="A3213">
        <v>9455.6625264930772</v>
      </c>
    </row>
    <row r="3214" spans="1:1" x14ac:dyDescent="0.2">
      <c r="A3214">
        <v>-3478.9533203642641</v>
      </c>
    </row>
    <row r="3215" spans="1:1" x14ac:dyDescent="0.2">
      <c r="A3215">
        <v>4570.0335955797927</v>
      </c>
    </row>
    <row r="3216" spans="1:1" x14ac:dyDescent="0.2">
      <c r="A3216">
        <v>2525.583577082667</v>
      </c>
    </row>
    <row r="3217" spans="1:1" x14ac:dyDescent="0.2">
      <c r="A3217">
        <v>12119.032179767615</v>
      </c>
    </row>
    <row r="3218" spans="1:1" x14ac:dyDescent="0.2">
      <c r="A3218">
        <v>1481.819926187949</v>
      </c>
    </row>
    <row r="3219" spans="1:1" x14ac:dyDescent="0.2">
      <c r="A3219">
        <v>-6090.9301799631212</v>
      </c>
    </row>
    <row r="3220" spans="1:1" x14ac:dyDescent="0.2">
      <c r="A3220">
        <v>-13957.147179516178</v>
      </c>
    </row>
    <row r="3221" spans="1:1" x14ac:dyDescent="0.2">
      <c r="A3221">
        <v>4061.4851339138113</v>
      </c>
    </row>
    <row r="3222" spans="1:1" x14ac:dyDescent="0.2">
      <c r="A3222">
        <v>3057.0620022119838</v>
      </c>
    </row>
    <row r="3223" spans="1:1" x14ac:dyDescent="0.2">
      <c r="A3223">
        <v>11025.126529340196</v>
      </c>
    </row>
    <row r="3224" spans="1:1" x14ac:dyDescent="0.2">
      <c r="A3224">
        <v>7627.9366948620009</v>
      </c>
    </row>
    <row r="3225" spans="1:1" x14ac:dyDescent="0.2">
      <c r="A3225">
        <v>-13710.644572245656</v>
      </c>
    </row>
    <row r="3226" spans="1:1" x14ac:dyDescent="0.2">
      <c r="A3226">
        <v>-5403.5230909478851</v>
      </c>
    </row>
    <row r="3227" spans="1:1" x14ac:dyDescent="0.2">
      <c r="A3227">
        <v>10803.835959939403</v>
      </c>
    </row>
    <row r="3228" spans="1:1" x14ac:dyDescent="0.2">
      <c r="A3228">
        <v>-19993.55810464645</v>
      </c>
    </row>
    <row r="3229" spans="1:1" x14ac:dyDescent="0.2">
      <c r="A3229">
        <v>10494.482102322945</v>
      </c>
    </row>
    <row r="3230" spans="1:1" x14ac:dyDescent="0.2">
      <c r="A3230">
        <v>12783.753775198071</v>
      </c>
    </row>
    <row r="3231" spans="1:1" x14ac:dyDescent="0.2">
      <c r="A3231">
        <v>11657.175175767916</v>
      </c>
    </row>
    <row r="3232" spans="1:1" x14ac:dyDescent="0.2">
      <c r="A3232">
        <v>27042.099111084884</v>
      </c>
    </row>
    <row r="3233" spans="1:1" x14ac:dyDescent="0.2">
      <c r="A3233">
        <v>7305.2420897801057</v>
      </c>
    </row>
    <row r="3234" spans="1:1" x14ac:dyDescent="0.2">
      <c r="A3234">
        <v>11378.494237514504</v>
      </c>
    </row>
    <row r="3235" spans="1:1" x14ac:dyDescent="0.2">
      <c r="A3235">
        <v>11676.70580529276</v>
      </c>
    </row>
    <row r="3236" spans="1:1" x14ac:dyDescent="0.2">
      <c r="A3236">
        <v>1883.2272387644625</v>
      </c>
    </row>
    <row r="3237" spans="1:1" x14ac:dyDescent="0.2">
      <c r="A3237">
        <v>8218.8829256198078</v>
      </c>
    </row>
    <row r="3238" spans="1:1" x14ac:dyDescent="0.2">
      <c r="A3238">
        <v>4008.3952835819218</v>
      </c>
    </row>
    <row r="3239" spans="1:1" x14ac:dyDescent="0.2">
      <c r="A3239">
        <v>-4811.7848041218531</v>
      </c>
    </row>
    <row r="3240" spans="1:1" x14ac:dyDescent="0.2">
      <c r="A3240">
        <v>2421.6861390583799</v>
      </c>
    </row>
    <row r="3241" spans="1:1" x14ac:dyDescent="0.2">
      <c r="A3241">
        <v>6180.2389369952434</v>
      </c>
    </row>
    <row r="3242" spans="1:1" x14ac:dyDescent="0.2">
      <c r="A3242">
        <v>-18754.623269127624</v>
      </c>
    </row>
    <row r="3243" spans="1:1" x14ac:dyDescent="0.2">
      <c r="A3243">
        <v>10670.983972494025</v>
      </c>
    </row>
    <row r="3244" spans="1:1" x14ac:dyDescent="0.2">
      <c r="A3244">
        <v>-3998.687195557839</v>
      </c>
    </row>
    <row r="3245" spans="1:1" x14ac:dyDescent="0.2">
      <c r="A3245">
        <v>12831.727789944271</v>
      </c>
    </row>
    <row r="3246" spans="1:1" x14ac:dyDescent="0.2">
      <c r="A3246">
        <v>16068.563051242265</v>
      </c>
    </row>
    <row r="3247" spans="1:1" x14ac:dyDescent="0.2">
      <c r="A3247">
        <v>6226.9577590244007</v>
      </c>
    </row>
    <row r="3248" spans="1:1" x14ac:dyDescent="0.2">
      <c r="A3248">
        <v>6152.7386891954229</v>
      </c>
    </row>
    <row r="3249" spans="1:1" x14ac:dyDescent="0.2">
      <c r="A3249">
        <v>3458.0745191537426</v>
      </c>
    </row>
    <row r="3250" spans="1:1" x14ac:dyDescent="0.2">
      <c r="A3250">
        <v>4910.6125727835752</v>
      </c>
    </row>
    <row r="3251" spans="1:1" x14ac:dyDescent="0.2">
      <c r="A3251">
        <v>23913.194054789979</v>
      </c>
    </row>
    <row r="3252" spans="1:1" x14ac:dyDescent="0.2">
      <c r="A3252">
        <v>2258.0054321026546</v>
      </c>
    </row>
    <row r="3253" spans="1:1" x14ac:dyDescent="0.2">
      <c r="A3253">
        <v>11725.435117586574</v>
      </c>
    </row>
    <row r="3254" spans="1:1" x14ac:dyDescent="0.2">
      <c r="A3254">
        <v>7741.1537809224101</v>
      </c>
    </row>
    <row r="3255" spans="1:1" x14ac:dyDescent="0.2">
      <c r="A3255">
        <v>-1662.3120191752241</v>
      </c>
    </row>
    <row r="3256" spans="1:1" x14ac:dyDescent="0.2">
      <c r="A3256">
        <v>8937.494789127144</v>
      </c>
    </row>
    <row r="3257" spans="1:1" x14ac:dyDescent="0.2">
      <c r="A3257">
        <v>-2346.1626533032395</v>
      </c>
    </row>
    <row r="3258" spans="1:1" x14ac:dyDescent="0.2">
      <c r="A3258">
        <v>-10679.81199364044</v>
      </c>
    </row>
    <row r="3259" spans="1:1" x14ac:dyDescent="0.2">
      <c r="A3259">
        <v>3773.3796647121781</v>
      </c>
    </row>
    <row r="3260" spans="1:1" x14ac:dyDescent="0.2">
      <c r="A3260">
        <v>6426.0802744835964</v>
      </c>
    </row>
    <row r="3261" spans="1:1" x14ac:dyDescent="0.2">
      <c r="A3261">
        <v>-1361.6512585295714</v>
      </c>
    </row>
    <row r="3262" spans="1:1" x14ac:dyDescent="0.2">
      <c r="A3262">
        <v>3501.5506654321798</v>
      </c>
    </row>
    <row r="3263" spans="1:1" x14ac:dyDescent="0.2">
      <c r="A3263">
        <v>12723.296165557054</v>
      </c>
    </row>
    <row r="3264" spans="1:1" x14ac:dyDescent="0.2">
      <c r="A3264">
        <v>11955.917473216221</v>
      </c>
    </row>
    <row r="3265" spans="1:1" x14ac:dyDescent="0.2">
      <c r="A3265">
        <v>-26422.793571663322</v>
      </c>
    </row>
    <row r="3266" spans="1:1" x14ac:dyDescent="0.2">
      <c r="A3266">
        <v>4295.4427767404995</v>
      </c>
    </row>
    <row r="3267" spans="1:1" x14ac:dyDescent="0.2">
      <c r="A3267">
        <v>-16119.782763994823</v>
      </c>
    </row>
    <row r="3268" spans="1:1" x14ac:dyDescent="0.2">
      <c r="A3268">
        <v>-16464.846132120059</v>
      </c>
    </row>
    <row r="3269" spans="1:1" x14ac:dyDescent="0.2">
      <c r="A3269">
        <v>-10639.939383586898</v>
      </c>
    </row>
    <row r="3270" spans="1:1" x14ac:dyDescent="0.2">
      <c r="A3270">
        <v>3930.8436482316756</v>
      </c>
    </row>
    <row r="3271" spans="1:1" x14ac:dyDescent="0.2">
      <c r="A3271">
        <v>13081.092736096238</v>
      </c>
    </row>
    <row r="3272" spans="1:1" x14ac:dyDescent="0.2">
      <c r="A3272">
        <v>4602.8294145473046</v>
      </c>
    </row>
    <row r="3273" spans="1:1" x14ac:dyDescent="0.2">
      <c r="A3273">
        <v>13054.98123366083</v>
      </c>
    </row>
    <row r="3274" spans="1:1" x14ac:dyDescent="0.2">
      <c r="A3274">
        <v>6932.0126497349411</v>
      </c>
    </row>
    <row r="3275" spans="1:1" x14ac:dyDescent="0.2">
      <c r="A3275">
        <v>-294.0877540850197</v>
      </c>
    </row>
    <row r="3276" spans="1:1" x14ac:dyDescent="0.2">
      <c r="A3276">
        <v>-2209.8971923399076</v>
      </c>
    </row>
    <row r="3277" spans="1:1" x14ac:dyDescent="0.2">
      <c r="A3277">
        <v>-4408.4271059932362</v>
      </c>
    </row>
    <row r="3278" spans="1:1" x14ac:dyDescent="0.2">
      <c r="A3278">
        <v>-20314.538230337377</v>
      </c>
    </row>
    <row r="3279" spans="1:1" x14ac:dyDescent="0.2">
      <c r="A3279">
        <v>-4335.2954530470597</v>
      </c>
    </row>
    <row r="3280" spans="1:1" x14ac:dyDescent="0.2">
      <c r="A3280">
        <v>-14482.728441890096</v>
      </c>
    </row>
    <row r="3281" spans="1:1" x14ac:dyDescent="0.2">
      <c r="A3281">
        <v>6706.6282748092781</v>
      </c>
    </row>
    <row r="3282" spans="1:1" x14ac:dyDescent="0.2">
      <c r="A3282">
        <v>-5309.6596930961241</v>
      </c>
    </row>
    <row r="3283" spans="1:1" x14ac:dyDescent="0.2">
      <c r="A3283">
        <v>25095.849619541608</v>
      </c>
    </row>
    <row r="3284" spans="1:1" x14ac:dyDescent="0.2">
      <c r="A3284">
        <v>-8609.5269826602889</v>
      </c>
    </row>
    <row r="3285" spans="1:1" x14ac:dyDescent="0.2">
      <c r="A3285">
        <v>-15731.516580291733</v>
      </c>
    </row>
    <row r="3286" spans="1:1" x14ac:dyDescent="0.2">
      <c r="A3286">
        <v>13056.854666333005</v>
      </c>
    </row>
    <row r="3287" spans="1:1" x14ac:dyDescent="0.2">
      <c r="A3287">
        <v>485.40360764105571</v>
      </c>
    </row>
    <row r="3288" spans="1:1" x14ac:dyDescent="0.2">
      <c r="A3288">
        <v>8468.2243897865119</v>
      </c>
    </row>
    <row r="3289" spans="1:1" x14ac:dyDescent="0.2">
      <c r="A3289">
        <v>-2211.6525131245144</v>
      </c>
    </row>
    <row r="3290" spans="1:1" x14ac:dyDescent="0.2">
      <c r="A3290">
        <v>-18779.222091048257</v>
      </c>
    </row>
    <row r="3291" spans="1:1" x14ac:dyDescent="0.2">
      <c r="A3291">
        <v>17294.657428468403</v>
      </c>
    </row>
    <row r="3292" spans="1:1" x14ac:dyDescent="0.2">
      <c r="A3292">
        <v>-5134.2880045514321</v>
      </c>
    </row>
    <row r="3293" spans="1:1" x14ac:dyDescent="0.2">
      <c r="A3293">
        <v>-17982.533504346502</v>
      </c>
    </row>
    <row r="3294" spans="1:1" x14ac:dyDescent="0.2">
      <c r="A3294">
        <v>19879.065745923668</v>
      </c>
    </row>
    <row r="3295" spans="1:1" x14ac:dyDescent="0.2">
      <c r="A3295">
        <v>15159.225743915886</v>
      </c>
    </row>
    <row r="3296" spans="1:1" x14ac:dyDescent="0.2">
      <c r="A3296">
        <v>-4193.9364794864669</v>
      </c>
    </row>
    <row r="3297" spans="1:1" x14ac:dyDescent="0.2">
      <c r="A3297">
        <v>11620.886453697749</v>
      </c>
    </row>
    <row r="3298" spans="1:1" x14ac:dyDescent="0.2">
      <c r="A3298">
        <v>-23803.835464492149</v>
      </c>
    </row>
    <row r="3299" spans="1:1" x14ac:dyDescent="0.2">
      <c r="A3299">
        <v>14240.90330637517</v>
      </c>
    </row>
    <row r="3300" spans="1:1" x14ac:dyDescent="0.2">
      <c r="A3300">
        <v>4590.2962043154403</v>
      </c>
    </row>
    <row r="3301" spans="1:1" x14ac:dyDescent="0.2">
      <c r="A3301">
        <v>6043.2010534174478</v>
      </c>
    </row>
    <row r="3302" spans="1:1" x14ac:dyDescent="0.2">
      <c r="A3302">
        <v>-7822.6577011643094</v>
      </c>
    </row>
    <row r="3303" spans="1:1" x14ac:dyDescent="0.2">
      <c r="A3303">
        <v>-2983.1268746208516</v>
      </c>
    </row>
    <row r="3304" spans="1:1" x14ac:dyDescent="0.2">
      <c r="A3304">
        <v>-32858.187680340023</v>
      </c>
    </row>
    <row r="3305" spans="1:1" x14ac:dyDescent="0.2">
      <c r="A3305">
        <v>1733.1974558306392</v>
      </c>
    </row>
    <row r="3306" spans="1:1" x14ac:dyDescent="0.2">
      <c r="A3306">
        <v>-1805.6822477340756</v>
      </c>
    </row>
    <row r="3307" spans="1:1" x14ac:dyDescent="0.2">
      <c r="A3307">
        <v>-8834.8216735181049</v>
      </c>
    </row>
    <row r="3308" spans="1:1" x14ac:dyDescent="0.2">
      <c r="A3308">
        <v>-293.09307775617344</v>
      </c>
    </row>
    <row r="3309" spans="1:1" x14ac:dyDescent="0.2">
      <c r="A3309">
        <v>-2126.2873474012595</v>
      </c>
    </row>
    <row r="3310" spans="1:1" x14ac:dyDescent="0.2">
      <c r="A3310">
        <v>-7011.8536833151011</v>
      </c>
    </row>
    <row r="3311" spans="1:1" x14ac:dyDescent="0.2">
      <c r="A3311">
        <v>7206.7722107923764</v>
      </c>
    </row>
    <row r="3312" spans="1:1" x14ac:dyDescent="0.2">
      <c r="A3312">
        <v>6453.6424421976553</v>
      </c>
    </row>
    <row r="3313" spans="1:1" x14ac:dyDescent="0.2">
      <c r="A3313">
        <v>7047.0746441326919</v>
      </c>
    </row>
    <row r="3314" spans="1:1" x14ac:dyDescent="0.2">
      <c r="A3314">
        <v>-21734.345963561442</v>
      </c>
    </row>
    <row r="3315" spans="1:1" x14ac:dyDescent="0.2">
      <c r="A3315">
        <v>-265.20176904846448</v>
      </c>
    </row>
    <row r="3316" spans="1:1" x14ac:dyDescent="0.2">
      <c r="A3316">
        <v>-5222.0712241918081</v>
      </c>
    </row>
    <row r="3317" spans="1:1" x14ac:dyDescent="0.2">
      <c r="A3317">
        <v>-4272.3899944458099</v>
      </c>
    </row>
    <row r="3318" spans="1:1" x14ac:dyDescent="0.2">
      <c r="A3318">
        <v>6816.8797409321996</v>
      </c>
    </row>
    <row r="3319" spans="1:1" x14ac:dyDescent="0.2">
      <c r="A3319">
        <v>3520.5755809867114</v>
      </c>
    </row>
    <row r="3320" spans="1:1" x14ac:dyDescent="0.2">
      <c r="A3320">
        <v>17268.400163356273</v>
      </c>
    </row>
    <row r="3321" spans="1:1" x14ac:dyDescent="0.2">
      <c r="A3321">
        <v>7102.945086669235</v>
      </c>
    </row>
    <row r="3322" spans="1:1" x14ac:dyDescent="0.2">
      <c r="A3322">
        <v>-275.94691862762556</v>
      </c>
    </row>
    <row r="3323" spans="1:1" x14ac:dyDescent="0.2">
      <c r="A3323">
        <v>-17583.317741498468</v>
      </c>
    </row>
    <row r="3324" spans="1:1" x14ac:dyDescent="0.2">
      <c r="A3324">
        <v>-187.31645783327986</v>
      </c>
    </row>
    <row r="3325" spans="1:1" x14ac:dyDescent="0.2">
      <c r="A3325">
        <v>-3546.8226810581691</v>
      </c>
    </row>
    <row r="3326" spans="1:1" x14ac:dyDescent="0.2">
      <c r="A3326">
        <v>17171.732955375628</v>
      </c>
    </row>
    <row r="3327" spans="1:1" x14ac:dyDescent="0.2">
      <c r="A3327">
        <v>3661.7441771202139</v>
      </c>
    </row>
    <row r="3328" spans="1:1" x14ac:dyDescent="0.2">
      <c r="A3328">
        <v>9264.5375890974246</v>
      </c>
    </row>
    <row r="3329" spans="1:1" x14ac:dyDescent="0.2">
      <c r="A3329">
        <v>-2485.2314667901956</v>
      </c>
    </row>
    <row r="3330" spans="1:1" x14ac:dyDescent="0.2">
      <c r="A3330">
        <v>-7142.9801827025367</v>
      </c>
    </row>
    <row r="3331" spans="1:1" x14ac:dyDescent="0.2">
      <c r="A3331">
        <v>-21071.150329047261</v>
      </c>
    </row>
    <row r="3332" spans="1:1" x14ac:dyDescent="0.2">
      <c r="A3332">
        <v>25482.912083423464</v>
      </c>
    </row>
    <row r="3333" spans="1:1" x14ac:dyDescent="0.2">
      <c r="A3333">
        <v>-8915.9972741045931</v>
      </c>
    </row>
    <row r="3334" spans="1:1" x14ac:dyDescent="0.2">
      <c r="A3334">
        <v>5231.5277710124792</v>
      </c>
    </row>
    <row r="3335" spans="1:1" x14ac:dyDescent="0.2">
      <c r="A3335">
        <v>4719.3365079621435</v>
      </c>
    </row>
    <row r="3336" spans="1:1" x14ac:dyDescent="0.2">
      <c r="A3336">
        <v>-17358.450709734345</v>
      </c>
    </row>
    <row r="3337" spans="1:1" x14ac:dyDescent="0.2">
      <c r="A3337">
        <v>9161.3140829634503</v>
      </c>
    </row>
    <row r="3338" spans="1:1" x14ac:dyDescent="0.2">
      <c r="A3338">
        <v>-4431.6158057114226</v>
      </c>
    </row>
    <row r="3339" spans="1:1" x14ac:dyDescent="0.2">
      <c r="A3339">
        <v>5340.7960770470672</v>
      </c>
    </row>
    <row r="3340" spans="1:1" x14ac:dyDescent="0.2">
      <c r="A3340">
        <v>8871.9298857837857</v>
      </c>
    </row>
    <row r="3341" spans="1:1" x14ac:dyDescent="0.2">
      <c r="A3341">
        <v>-27968.104915777803</v>
      </c>
    </row>
    <row r="3342" spans="1:1" x14ac:dyDescent="0.2">
      <c r="A3342">
        <v>-4892.784401873796</v>
      </c>
    </row>
    <row r="3343" spans="1:1" x14ac:dyDescent="0.2">
      <c r="A3343">
        <v>11200.146923078282</v>
      </c>
    </row>
    <row r="3344" spans="1:1" x14ac:dyDescent="0.2">
      <c r="A3344">
        <v>-1455.1911242019269</v>
      </c>
    </row>
    <row r="3345" spans="1:1" x14ac:dyDescent="0.2">
      <c r="A3345">
        <v>-3159.4153325522784</v>
      </c>
    </row>
    <row r="3346" spans="1:1" x14ac:dyDescent="0.2">
      <c r="A3346">
        <v>12421.718422801176</v>
      </c>
    </row>
    <row r="3347" spans="1:1" x14ac:dyDescent="0.2">
      <c r="A3347">
        <v>-11341.036078761041</v>
      </c>
    </row>
    <row r="3348" spans="1:1" x14ac:dyDescent="0.2">
      <c r="A3348">
        <v>1697.4640500171517</v>
      </c>
    </row>
    <row r="3349" spans="1:1" x14ac:dyDescent="0.2">
      <c r="A3349">
        <v>5962.0082541235606</v>
      </c>
    </row>
    <row r="3350" spans="1:1" x14ac:dyDescent="0.2">
      <c r="A3350">
        <v>16942.162397834123</v>
      </c>
    </row>
    <row r="3351" spans="1:1" x14ac:dyDescent="0.2">
      <c r="A3351">
        <v>-25678.030306510453</v>
      </c>
    </row>
    <row r="3352" spans="1:1" x14ac:dyDescent="0.2">
      <c r="A3352">
        <v>6609.5814367332205</v>
      </c>
    </row>
    <row r="3353" spans="1:1" x14ac:dyDescent="0.2">
      <c r="A3353">
        <v>7823.4634048983571</v>
      </c>
    </row>
    <row r="3354" spans="1:1" x14ac:dyDescent="0.2">
      <c r="A3354">
        <v>1809.6160908994498</v>
      </c>
    </row>
    <row r="3355" spans="1:1" x14ac:dyDescent="0.2">
      <c r="A3355">
        <v>-2813.5438702762476</v>
      </c>
    </row>
    <row r="3356" spans="1:1" x14ac:dyDescent="0.2">
      <c r="A3356">
        <v>-6743.155488909455</v>
      </c>
    </row>
    <row r="3357" spans="1:1" x14ac:dyDescent="0.2">
      <c r="A3357">
        <v>-8111.8019970025052</v>
      </c>
    </row>
    <row r="3358" spans="1:1" x14ac:dyDescent="0.2">
      <c r="A3358">
        <v>-18975.610369711358</v>
      </c>
    </row>
    <row r="3359" spans="1:1" x14ac:dyDescent="0.2">
      <c r="A3359">
        <v>-20760.828036920168</v>
      </c>
    </row>
    <row r="3360" spans="1:1" x14ac:dyDescent="0.2">
      <c r="A3360">
        <v>14273.715502616658</v>
      </c>
    </row>
    <row r="3361" spans="1:1" x14ac:dyDescent="0.2">
      <c r="A3361">
        <v>-1722.6444504196988</v>
      </c>
    </row>
    <row r="3362" spans="1:1" x14ac:dyDescent="0.2">
      <c r="A3362">
        <v>6103.1208062838123</v>
      </c>
    </row>
    <row r="3363" spans="1:1" x14ac:dyDescent="0.2">
      <c r="A3363">
        <v>-25777.215552008885</v>
      </c>
    </row>
    <row r="3364" spans="1:1" x14ac:dyDescent="0.2">
      <c r="A3364">
        <v>-5698.3826714211609</v>
      </c>
    </row>
    <row r="3365" spans="1:1" x14ac:dyDescent="0.2">
      <c r="A3365">
        <v>11131.832541806798</v>
      </c>
    </row>
    <row r="3366" spans="1:1" x14ac:dyDescent="0.2">
      <c r="A3366">
        <v>-9421.212649470428</v>
      </c>
    </row>
    <row r="3367" spans="1:1" x14ac:dyDescent="0.2">
      <c r="A3367">
        <v>-2499.3454318945878</v>
      </c>
    </row>
    <row r="3368" spans="1:1" x14ac:dyDescent="0.2">
      <c r="A3368">
        <v>442.84699367595022</v>
      </c>
    </row>
    <row r="3369" spans="1:1" x14ac:dyDescent="0.2">
      <c r="A3369">
        <v>11590.25038723927</v>
      </c>
    </row>
    <row r="3370" spans="1:1" x14ac:dyDescent="0.2">
      <c r="A3370">
        <v>-5340.4498014115961</v>
      </c>
    </row>
    <row r="3371" spans="1:1" x14ac:dyDescent="0.2">
      <c r="A3371">
        <v>-5839.4216345747991</v>
      </c>
    </row>
    <row r="3372" spans="1:1" x14ac:dyDescent="0.2">
      <c r="A3372">
        <v>15767.443663721962</v>
      </c>
    </row>
    <row r="3373" spans="1:1" x14ac:dyDescent="0.2">
      <c r="A3373">
        <v>3225.5166167393909</v>
      </c>
    </row>
    <row r="3374" spans="1:1" x14ac:dyDescent="0.2">
      <c r="A3374">
        <v>-12833.751507727255</v>
      </c>
    </row>
    <row r="3375" spans="1:1" x14ac:dyDescent="0.2">
      <c r="A3375">
        <v>13206.61423322669</v>
      </c>
    </row>
    <row r="3376" spans="1:1" x14ac:dyDescent="0.2">
      <c r="A3376">
        <v>5108.736770696647</v>
      </c>
    </row>
    <row r="3377" spans="1:1" x14ac:dyDescent="0.2">
      <c r="A3377">
        <v>-18330.476308685204</v>
      </c>
    </row>
    <row r="3378" spans="1:1" x14ac:dyDescent="0.2">
      <c r="A3378">
        <v>-3959.6006138901575</v>
      </c>
    </row>
    <row r="3379" spans="1:1" x14ac:dyDescent="0.2">
      <c r="A3379">
        <v>8552.9919139688718</v>
      </c>
    </row>
    <row r="3380" spans="1:1" x14ac:dyDescent="0.2">
      <c r="A3380">
        <v>8411.4194331358594</v>
      </c>
    </row>
    <row r="3381" spans="1:1" x14ac:dyDescent="0.2">
      <c r="A3381">
        <v>170.70159822367714</v>
      </c>
    </row>
    <row r="3382" spans="1:1" x14ac:dyDescent="0.2">
      <c r="A3382">
        <v>11659.623459498456</v>
      </c>
    </row>
    <row r="3383" spans="1:1" x14ac:dyDescent="0.2">
      <c r="A3383">
        <v>4356.2603486203006</v>
      </c>
    </row>
    <row r="3384" spans="1:1" x14ac:dyDescent="0.2">
      <c r="A3384">
        <v>9253.3855818805459</v>
      </c>
    </row>
    <row r="3385" spans="1:1" x14ac:dyDescent="0.2">
      <c r="A3385">
        <v>2346.1630213259195</v>
      </c>
    </row>
    <row r="3386" spans="1:1" x14ac:dyDescent="0.2">
      <c r="A3386">
        <v>-1201.2915188997868</v>
      </c>
    </row>
    <row r="3387" spans="1:1" x14ac:dyDescent="0.2">
      <c r="A3387">
        <v>1164.0987107444089</v>
      </c>
    </row>
    <row r="3388" spans="1:1" x14ac:dyDescent="0.2">
      <c r="A3388">
        <v>4750.4328820383525</v>
      </c>
    </row>
    <row r="3389" spans="1:1" x14ac:dyDescent="0.2">
      <c r="A3389">
        <v>12959.338491487026</v>
      </c>
    </row>
    <row r="3390" spans="1:1" x14ac:dyDescent="0.2">
      <c r="A3390">
        <v>-14983.291926103353</v>
      </c>
    </row>
    <row r="3391" spans="1:1" x14ac:dyDescent="0.2">
      <c r="A3391">
        <v>-4712.8915995029965</v>
      </c>
    </row>
    <row r="3392" spans="1:1" x14ac:dyDescent="0.2">
      <c r="A3392">
        <v>7603.1820763967698</v>
      </c>
    </row>
    <row r="3393" spans="1:1" x14ac:dyDescent="0.2">
      <c r="A3393">
        <v>-17179.931286513805</v>
      </c>
    </row>
    <row r="3394" spans="1:1" x14ac:dyDescent="0.2">
      <c r="A3394">
        <v>5060.3299574813282</v>
      </c>
    </row>
    <row r="3395" spans="1:1" x14ac:dyDescent="0.2">
      <c r="A3395">
        <v>11791.787816638651</v>
      </c>
    </row>
    <row r="3396" spans="1:1" x14ac:dyDescent="0.2">
      <c r="A3396">
        <v>-7766.0831538213533</v>
      </c>
    </row>
    <row r="3397" spans="1:1" x14ac:dyDescent="0.2">
      <c r="A3397">
        <v>-1672.1902587398072</v>
      </c>
    </row>
    <row r="3398" spans="1:1" x14ac:dyDescent="0.2">
      <c r="A3398">
        <v>-937.76226693060016</v>
      </c>
    </row>
    <row r="3399" spans="1:1" x14ac:dyDescent="0.2">
      <c r="A3399">
        <v>-123.5425466603192</v>
      </c>
    </row>
    <row r="3400" spans="1:1" x14ac:dyDescent="0.2">
      <c r="A3400">
        <v>31147.918354211688</v>
      </c>
    </row>
    <row r="3401" spans="1:1" x14ac:dyDescent="0.2">
      <c r="A3401">
        <v>6679.6436813945184</v>
      </c>
    </row>
    <row r="3402" spans="1:1" x14ac:dyDescent="0.2">
      <c r="A3402">
        <v>11480.104523471673</v>
      </c>
    </row>
    <row r="3403" spans="1:1" x14ac:dyDescent="0.2">
      <c r="A3403">
        <v>-24461.660450110212</v>
      </c>
    </row>
    <row r="3404" spans="1:1" x14ac:dyDescent="0.2">
      <c r="A3404">
        <v>-3856.6546030254685</v>
      </c>
    </row>
    <row r="3405" spans="1:1" x14ac:dyDescent="0.2">
      <c r="A3405">
        <v>15300.749868582148</v>
      </c>
    </row>
    <row r="3406" spans="1:1" x14ac:dyDescent="0.2">
      <c r="A3406">
        <v>-4563.7859203832631</v>
      </c>
    </row>
    <row r="3407" spans="1:1" x14ac:dyDescent="0.2">
      <c r="A3407">
        <v>783.4142448483326</v>
      </c>
    </row>
    <row r="3408" spans="1:1" x14ac:dyDescent="0.2">
      <c r="A3408">
        <v>-713.88712636276614</v>
      </c>
    </row>
    <row r="3409" spans="1:1" x14ac:dyDescent="0.2">
      <c r="A3409">
        <v>15359.146019608306</v>
      </c>
    </row>
    <row r="3410" spans="1:1" x14ac:dyDescent="0.2">
      <c r="A3410">
        <v>8078.402075805614</v>
      </c>
    </row>
    <row r="3411" spans="1:1" x14ac:dyDescent="0.2">
      <c r="A3411">
        <v>-2302.1018122917449</v>
      </c>
    </row>
    <row r="3412" spans="1:1" x14ac:dyDescent="0.2">
      <c r="A3412">
        <v>-2417.3776599791017</v>
      </c>
    </row>
    <row r="3413" spans="1:1" x14ac:dyDescent="0.2">
      <c r="A3413">
        <v>3223.0389081274625</v>
      </c>
    </row>
    <row r="3414" spans="1:1" x14ac:dyDescent="0.2">
      <c r="A3414">
        <v>5323.348637507821</v>
      </c>
    </row>
    <row r="3415" spans="1:1" x14ac:dyDescent="0.2">
      <c r="A3415">
        <v>-5926.0995313140447</v>
      </c>
    </row>
    <row r="3416" spans="1:1" x14ac:dyDescent="0.2">
      <c r="A3416">
        <v>-2615.6031020283699</v>
      </c>
    </row>
    <row r="3417" spans="1:1" x14ac:dyDescent="0.2">
      <c r="A3417">
        <v>24071.230306412413</v>
      </c>
    </row>
    <row r="3418" spans="1:1" x14ac:dyDescent="0.2">
      <c r="A3418">
        <v>5384.5022802337771</v>
      </c>
    </row>
    <row r="3419" spans="1:1" x14ac:dyDescent="0.2">
      <c r="A3419">
        <v>825.86413939367048</v>
      </c>
    </row>
    <row r="3420" spans="1:1" x14ac:dyDescent="0.2">
      <c r="A3420">
        <v>3509.6845608445292</v>
      </c>
    </row>
    <row r="3421" spans="1:1" x14ac:dyDescent="0.2">
      <c r="A3421">
        <v>229.54657612674055</v>
      </c>
    </row>
    <row r="3422" spans="1:1" x14ac:dyDescent="0.2">
      <c r="A3422">
        <v>6340.2537965723604</v>
      </c>
    </row>
    <row r="3423" spans="1:1" x14ac:dyDescent="0.2">
      <c r="A3423">
        <v>8951.0118354666629</v>
      </c>
    </row>
    <row r="3424" spans="1:1" x14ac:dyDescent="0.2">
      <c r="A3424">
        <v>-3619.4239582521259</v>
      </c>
    </row>
    <row r="3425" spans="1:1" x14ac:dyDescent="0.2">
      <c r="A3425">
        <v>-15757.460370478977</v>
      </c>
    </row>
    <row r="3426" spans="1:1" x14ac:dyDescent="0.2">
      <c r="A3426">
        <v>-4073.0918783520174</v>
      </c>
    </row>
    <row r="3427" spans="1:1" x14ac:dyDescent="0.2">
      <c r="A3427">
        <v>-7972.0169385992631</v>
      </c>
    </row>
    <row r="3428" spans="1:1" x14ac:dyDescent="0.2">
      <c r="A3428">
        <v>11763.014319186681</v>
      </c>
    </row>
    <row r="3429" spans="1:1" x14ac:dyDescent="0.2">
      <c r="A3429">
        <v>8645.5410055875545</v>
      </c>
    </row>
    <row r="3430" spans="1:1" x14ac:dyDescent="0.2">
      <c r="A3430">
        <v>1659.159505080519</v>
      </c>
    </row>
    <row r="3431" spans="1:1" x14ac:dyDescent="0.2">
      <c r="A3431">
        <v>1141.7241038960929</v>
      </c>
    </row>
    <row r="3432" spans="1:1" x14ac:dyDescent="0.2">
      <c r="A3432">
        <v>6647.1450237490499</v>
      </c>
    </row>
    <row r="3433" spans="1:1" x14ac:dyDescent="0.2">
      <c r="A3433">
        <v>2817.8538207086967</v>
      </c>
    </row>
    <row r="3434" spans="1:1" x14ac:dyDescent="0.2">
      <c r="A3434">
        <v>7898.3134123295313</v>
      </c>
    </row>
    <row r="3435" spans="1:1" x14ac:dyDescent="0.2">
      <c r="A3435">
        <v>10773.432010440185</v>
      </c>
    </row>
    <row r="3436" spans="1:1" x14ac:dyDescent="0.2">
      <c r="A3436">
        <v>17221.006485105376</v>
      </c>
    </row>
    <row r="3437" spans="1:1" x14ac:dyDescent="0.2">
      <c r="A3437">
        <v>26617.67946910765</v>
      </c>
    </row>
    <row r="3438" spans="1:1" x14ac:dyDescent="0.2">
      <c r="A3438">
        <v>7073.9141899389506</v>
      </c>
    </row>
    <row r="3439" spans="1:1" x14ac:dyDescent="0.2">
      <c r="A3439">
        <v>19385.432918354403</v>
      </c>
    </row>
    <row r="3440" spans="1:1" x14ac:dyDescent="0.2">
      <c r="A3440">
        <v>-672.55309024007875</v>
      </c>
    </row>
    <row r="3441" spans="1:1" x14ac:dyDescent="0.2">
      <c r="A3441">
        <v>-35452.970159261546</v>
      </c>
    </row>
    <row r="3442" spans="1:1" x14ac:dyDescent="0.2">
      <c r="A3442">
        <v>-1166.4780689835898</v>
      </c>
    </row>
    <row r="3443" spans="1:1" x14ac:dyDescent="0.2">
      <c r="A3443">
        <v>-7483.5243007963873</v>
      </c>
    </row>
    <row r="3444" spans="1:1" x14ac:dyDescent="0.2">
      <c r="A3444">
        <v>-36318.271705622145</v>
      </c>
    </row>
    <row r="3445" spans="1:1" x14ac:dyDescent="0.2">
      <c r="A3445">
        <v>5570.1338349761209</v>
      </c>
    </row>
    <row r="3446" spans="1:1" x14ac:dyDescent="0.2">
      <c r="A3446">
        <v>11266.638551985699</v>
      </c>
    </row>
    <row r="3447" spans="1:1" x14ac:dyDescent="0.2">
      <c r="A3447">
        <v>2434.5827820350532</v>
      </c>
    </row>
    <row r="3448" spans="1:1" x14ac:dyDescent="0.2">
      <c r="A3448">
        <v>5377.2557980564889</v>
      </c>
    </row>
    <row r="3449" spans="1:1" x14ac:dyDescent="0.2">
      <c r="A3449">
        <v>-10833.000731872628</v>
      </c>
    </row>
    <row r="3450" spans="1:1" x14ac:dyDescent="0.2">
      <c r="A3450">
        <v>-13037.075859332224</v>
      </c>
    </row>
    <row r="3451" spans="1:1" x14ac:dyDescent="0.2">
      <c r="A3451">
        <v>-6512.472763586673</v>
      </c>
    </row>
    <row r="3452" spans="1:1" x14ac:dyDescent="0.2">
      <c r="A3452">
        <v>-4190.3833502921043</v>
      </c>
    </row>
    <row r="3453" spans="1:1" x14ac:dyDescent="0.2">
      <c r="A3453">
        <v>8471.309285989817</v>
      </c>
    </row>
    <row r="3454" spans="1:1" x14ac:dyDescent="0.2">
      <c r="A3454">
        <v>98.364188767387532</v>
      </c>
    </row>
    <row r="3455" spans="1:1" x14ac:dyDescent="0.2">
      <c r="A3455">
        <v>8868.0304531666916</v>
      </c>
    </row>
    <row r="3456" spans="1:1" x14ac:dyDescent="0.2">
      <c r="A3456">
        <v>5566.8863312274916</v>
      </c>
    </row>
    <row r="3457" spans="1:1" x14ac:dyDescent="0.2">
      <c r="A3457">
        <v>-397.82934628688963</v>
      </c>
    </row>
    <row r="3458" spans="1:1" x14ac:dyDescent="0.2">
      <c r="A3458">
        <v>1012.029587748053</v>
      </c>
    </row>
    <row r="3459" spans="1:1" x14ac:dyDescent="0.2">
      <c r="A3459">
        <v>-4708.2976728485664</v>
      </c>
    </row>
    <row r="3460" spans="1:1" x14ac:dyDescent="0.2">
      <c r="A3460">
        <v>-2798.4538894576544</v>
      </c>
    </row>
    <row r="3461" spans="1:1" x14ac:dyDescent="0.2">
      <c r="A3461">
        <v>-11925.201373416116</v>
      </c>
    </row>
    <row r="3462" spans="1:1" x14ac:dyDescent="0.2">
      <c r="A3462">
        <v>-3175.8375344791275</v>
      </c>
    </row>
    <row r="3463" spans="1:1" x14ac:dyDescent="0.2">
      <c r="A3463">
        <v>1080.8000874193094</v>
      </c>
    </row>
    <row r="3464" spans="1:1" x14ac:dyDescent="0.2">
      <c r="A3464">
        <v>4274.5622266363644</v>
      </c>
    </row>
    <row r="3465" spans="1:1" x14ac:dyDescent="0.2">
      <c r="A3465">
        <v>-31517.123573529534</v>
      </c>
    </row>
    <row r="3466" spans="1:1" x14ac:dyDescent="0.2">
      <c r="A3466">
        <v>-7677.1742396379123</v>
      </c>
    </row>
    <row r="3467" spans="1:1" x14ac:dyDescent="0.2">
      <c r="A3467">
        <v>-5441.6291448187549</v>
      </c>
    </row>
    <row r="3468" spans="1:1" x14ac:dyDescent="0.2">
      <c r="A3468">
        <v>-2167.755671520601</v>
      </c>
    </row>
    <row r="3469" spans="1:1" x14ac:dyDescent="0.2">
      <c r="A3469">
        <v>3598.7243649706943</v>
      </c>
    </row>
    <row r="3470" spans="1:1" x14ac:dyDescent="0.2">
      <c r="A3470">
        <v>-3173.1947573668731</v>
      </c>
    </row>
    <row r="3471" spans="1:1" x14ac:dyDescent="0.2">
      <c r="A3471">
        <v>1520.7656038369751</v>
      </c>
    </row>
    <row r="3472" spans="1:1" x14ac:dyDescent="0.2">
      <c r="A3472">
        <v>13547.467077818495</v>
      </c>
    </row>
    <row r="3473" spans="1:1" x14ac:dyDescent="0.2">
      <c r="A3473">
        <v>-4284.8700449132011</v>
      </c>
    </row>
    <row r="3474" spans="1:1" x14ac:dyDescent="0.2">
      <c r="A3474">
        <v>4572.303944249521</v>
      </c>
    </row>
    <row r="3475" spans="1:1" x14ac:dyDescent="0.2">
      <c r="A3475">
        <v>1920.3871854810859</v>
      </c>
    </row>
    <row r="3476" spans="1:1" x14ac:dyDescent="0.2">
      <c r="A3476">
        <v>7250.4609243500745</v>
      </c>
    </row>
    <row r="3477" spans="1:1" x14ac:dyDescent="0.2">
      <c r="A3477">
        <v>-1586.7619598413003</v>
      </c>
    </row>
    <row r="3478" spans="1:1" x14ac:dyDescent="0.2">
      <c r="A3478">
        <v>-11346.275285101554</v>
      </c>
    </row>
    <row r="3479" spans="1:1" x14ac:dyDescent="0.2">
      <c r="A3479">
        <v>6746.4304451930511</v>
      </c>
    </row>
    <row r="3480" spans="1:1" x14ac:dyDescent="0.2">
      <c r="A3480">
        <v>-3781.5804910559673</v>
      </c>
    </row>
    <row r="3481" spans="1:1" x14ac:dyDescent="0.2">
      <c r="A3481">
        <v>3218.6909968752589</v>
      </c>
    </row>
    <row r="3482" spans="1:1" x14ac:dyDescent="0.2">
      <c r="A3482">
        <v>-420.51556294760667</v>
      </c>
    </row>
    <row r="3483" spans="1:1" x14ac:dyDescent="0.2">
      <c r="A3483">
        <v>7311.2558926808706</v>
      </c>
    </row>
    <row r="3484" spans="1:1" x14ac:dyDescent="0.2">
      <c r="A3484">
        <v>3910.1671077164065</v>
      </c>
    </row>
    <row r="3485" spans="1:1" x14ac:dyDescent="0.2">
      <c r="A3485">
        <v>1782.1389594401408</v>
      </c>
    </row>
    <row r="3486" spans="1:1" x14ac:dyDescent="0.2">
      <c r="A3486">
        <v>-9075.9748535866383</v>
      </c>
    </row>
    <row r="3487" spans="1:1" x14ac:dyDescent="0.2">
      <c r="A3487">
        <v>5807.9774895985611</v>
      </c>
    </row>
    <row r="3488" spans="1:1" x14ac:dyDescent="0.2">
      <c r="A3488">
        <v>11772.923478071461</v>
      </c>
    </row>
    <row r="3489" spans="1:1" x14ac:dyDescent="0.2">
      <c r="A3489">
        <v>9838.0726512129768</v>
      </c>
    </row>
    <row r="3490" spans="1:1" x14ac:dyDescent="0.2">
      <c r="A3490">
        <v>3873.6792682556843</v>
      </c>
    </row>
    <row r="3491" spans="1:1" x14ac:dyDescent="0.2">
      <c r="A3491">
        <v>1725.7021967624605</v>
      </c>
    </row>
    <row r="3492" spans="1:1" x14ac:dyDescent="0.2">
      <c r="A3492">
        <v>-8042.2875834657461</v>
      </c>
    </row>
    <row r="3493" spans="1:1" x14ac:dyDescent="0.2">
      <c r="A3493">
        <v>-322.86821582869743</v>
      </c>
    </row>
    <row r="3494" spans="1:1" x14ac:dyDescent="0.2">
      <c r="A3494">
        <v>2856.7519950733404</v>
      </c>
    </row>
    <row r="3495" spans="1:1" x14ac:dyDescent="0.2">
      <c r="A3495">
        <v>18421.956555019337</v>
      </c>
    </row>
    <row r="3496" spans="1:1" x14ac:dyDescent="0.2">
      <c r="A3496">
        <v>5936.3661907670903</v>
      </c>
    </row>
    <row r="3497" spans="1:1" x14ac:dyDescent="0.2">
      <c r="A3497">
        <v>-1600.5973500815162</v>
      </c>
    </row>
    <row r="3498" spans="1:1" x14ac:dyDescent="0.2">
      <c r="A3498">
        <v>18169.703552228806</v>
      </c>
    </row>
    <row r="3499" spans="1:1" x14ac:dyDescent="0.2">
      <c r="A3499">
        <v>1902.0528051393048</v>
      </c>
    </row>
    <row r="3500" spans="1:1" x14ac:dyDescent="0.2">
      <c r="A3500">
        <v>5909.1277334412152</v>
      </c>
    </row>
    <row r="3501" spans="1:1" x14ac:dyDescent="0.2">
      <c r="A3501">
        <v>-9069.5486696250737</v>
      </c>
    </row>
    <row r="3502" spans="1:1" x14ac:dyDescent="0.2">
      <c r="A3502">
        <v>9954.6816099145217</v>
      </c>
    </row>
    <row r="3503" spans="1:1" x14ac:dyDescent="0.2">
      <c r="A3503">
        <v>-5427.1067051814462</v>
      </c>
    </row>
    <row r="3504" spans="1:1" x14ac:dyDescent="0.2">
      <c r="A3504">
        <v>-5732.9562265295535</v>
      </c>
    </row>
    <row r="3505" spans="1:1" x14ac:dyDescent="0.2">
      <c r="A3505">
        <v>-21286.532635231153</v>
      </c>
    </row>
    <row r="3506" spans="1:1" x14ac:dyDescent="0.2">
      <c r="A3506">
        <v>470.51127167663071</v>
      </c>
    </row>
    <row r="3507" spans="1:1" x14ac:dyDescent="0.2">
      <c r="A3507">
        <v>-11134.175329758495</v>
      </c>
    </row>
    <row r="3508" spans="1:1" x14ac:dyDescent="0.2">
      <c r="A3508">
        <v>4139.0283601306728</v>
      </c>
    </row>
    <row r="3509" spans="1:1" x14ac:dyDescent="0.2">
      <c r="A3509">
        <v>-18316.014293714135</v>
      </c>
    </row>
    <row r="3510" spans="1:1" x14ac:dyDescent="0.2">
      <c r="A3510">
        <v>-337.40560206680675</v>
      </c>
    </row>
    <row r="3511" spans="1:1" x14ac:dyDescent="0.2">
      <c r="A3511">
        <v>5631.7647168532712</v>
      </c>
    </row>
    <row r="3512" spans="1:1" x14ac:dyDescent="0.2">
      <c r="A3512">
        <v>3389.9339325484179</v>
      </c>
    </row>
    <row r="3513" spans="1:1" x14ac:dyDescent="0.2">
      <c r="A3513">
        <v>12062.255955526722</v>
      </c>
    </row>
    <row r="3514" spans="1:1" x14ac:dyDescent="0.2">
      <c r="A3514">
        <v>-7042.8491270096856</v>
      </c>
    </row>
    <row r="3515" spans="1:1" x14ac:dyDescent="0.2">
      <c r="A3515">
        <v>2318.4732927447767</v>
      </c>
    </row>
    <row r="3516" spans="1:1" x14ac:dyDescent="0.2">
      <c r="A3516">
        <v>-6674.7351917633205</v>
      </c>
    </row>
    <row r="3517" spans="1:1" x14ac:dyDescent="0.2">
      <c r="A3517">
        <v>2613.1311972179392</v>
      </c>
    </row>
    <row r="3518" spans="1:1" x14ac:dyDescent="0.2">
      <c r="A3518">
        <v>-18822.628829897207</v>
      </c>
    </row>
    <row r="3519" spans="1:1" x14ac:dyDescent="0.2">
      <c r="A3519">
        <v>2913.0977256522456</v>
      </c>
    </row>
    <row r="3520" spans="1:1" x14ac:dyDescent="0.2">
      <c r="A3520">
        <v>-15851.675138618943</v>
      </c>
    </row>
    <row r="3521" spans="1:1" x14ac:dyDescent="0.2">
      <c r="A3521">
        <v>-9151.5766230332083</v>
      </c>
    </row>
    <row r="3522" spans="1:1" x14ac:dyDescent="0.2">
      <c r="A3522">
        <v>3845.0769984060607</v>
      </c>
    </row>
    <row r="3523" spans="1:1" x14ac:dyDescent="0.2">
      <c r="A3523">
        <v>5665.265294026467</v>
      </c>
    </row>
    <row r="3524" spans="1:1" x14ac:dyDescent="0.2">
      <c r="A3524">
        <v>12547.089961800768</v>
      </c>
    </row>
    <row r="3525" spans="1:1" x14ac:dyDescent="0.2">
      <c r="A3525">
        <v>3869.447676467651</v>
      </c>
    </row>
    <row r="3526" spans="1:1" x14ac:dyDescent="0.2">
      <c r="A3526">
        <v>-5389.8680451503606</v>
      </c>
    </row>
    <row r="3527" spans="1:1" x14ac:dyDescent="0.2">
      <c r="A3527">
        <v>3747.1152017487912</v>
      </c>
    </row>
    <row r="3528" spans="1:1" x14ac:dyDescent="0.2">
      <c r="A3528">
        <v>-1651.1680751105305</v>
      </c>
    </row>
    <row r="3529" spans="1:1" x14ac:dyDescent="0.2">
      <c r="A3529">
        <v>2392.5745248929597</v>
      </c>
    </row>
    <row r="3530" spans="1:1" x14ac:dyDescent="0.2">
      <c r="A3530">
        <v>2115.2279137708538</v>
      </c>
    </row>
    <row r="3531" spans="1:1" x14ac:dyDescent="0.2">
      <c r="A3531">
        <v>-3594.2008477082127</v>
      </c>
    </row>
    <row r="3532" spans="1:1" x14ac:dyDescent="0.2">
      <c r="A3532">
        <v>1528.1674697415438</v>
      </c>
    </row>
    <row r="3533" spans="1:1" x14ac:dyDescent="0.2">
      <c r="A3533">
        <v>1626.1495558021707</v>
      </c>
    </row>
    <row r="3534" spans="1:1" x14ac:dyDescent="0.2">
      <c r="A3534">
        <v>6431.3324667531124</v>
      </c>
    </row>
    <row r="3535" spans="1:1" x14ac:dyDescent="0.2">
      <c r="A3535">
        <v>6430.0548636049498</v>
      </c>
    </row>
    <row r="3536" spans="1:1" x14ac:dyDescent="0.2">
      <c r="A3536">
        <v>8973.8540629341442</v>
      </c>
    </row>
    <row r="3537" spans="1:1" x14ac:dyDescent="0.2">
      <c r="A3537">
        <v>11119.979713762994</v>
      </c>
    </row>
    <row r="3538" spans="1:1" x14ac:dyDescent="0.2">
      <c r="A3538">
        <v>10470.334852634114</v>
      </c>
    </row>
    <row r="3539" spans="1:1" x14ac:dyDescent="0.2">
      <c r="A3539">
        <v>-24532.756886563235</v>
      </c>
    </row>
    <row r="3540" spans="1:1" x14ac:dyDescent="0.2">
      <c r="A3540">
        <v>-194.77721402727184</v>
      </c>
    </row>
    <row r="3541" spans="1:1" x14ac:dyDescent="0.2">
      <c r="A3541">
        <v>-19530.261952215864</v>
      </c>
    </row>
    <row r="3542" spans="1:1" x14ac:dyDescent="0.2">
      <c r="A3542">
        <v>-4028.7655596746772</v>
      </c>
    </row>
    <row r="3543" spans="1:1" x14ac:dyDescent="0.2">
      <c r="A3543">
        <v>145.01957401831169</v>
      </c>
    </row>
    <row r="3544" spans="1:1" x14ac:dyDescent="0.2">
      <c r="A3544">
        <v>10202.283007195714</v>
      </c>
    </row>
    <row r="3545" spans="1:1" x14ac:dyDescent="0.2">
      <c r="A3545">
        <v>-1354.2546817061666</v>
      </c>
    </row>
    <row r="3546" spans="1:1" x14ac:dyDescent="0.2">
      <c r="A3546">
        <v>-695.79336318233982</v>
      </c>
    </row>
    <row r="3547" spans="1:1" x14ac:dyDescent="0.2">
      <c r="A3547">
        <v>3217.6917016533553</v>
      </c>
    </row>
    <row r="3548" spans="1:1" x14ac:dyDescent="0.2">
      <c r="A3548">
        <v>26552.602928340028</v>
      </c>
    </row>
    <row r="3549" spans="1:1" x14ac:dyDescent="0.2">
      <c r="A3549">
        <v>1897.1325523092528</v>
      </c>
    </row>
    <row r="3550" spans="1:1" x14ac:dyDescent="0.2">
      <c r="A3550">
        <v>15769.039863197104</v>
      </c>
    </row>
    <row r="3551" spans="1:1" x14ac:dyDescent="0.2">
      <c r="A3551">
        <v>5796.310887034866</v>
      </c>
    </row>
    <row r="3552" spans="1:1" x14ac:dyDescent="0.2">
      <c r="A3552">
        <v>-5323.4505627301114</v>
      </c>
    </row>
    <row r="3553" spans="1:1" x14ac:dyDescent="0.2">
      <c r="A3553">
        <v>-14719.712175570952</v>
      </c>
    </row>
    <row r="3554" spans="1:1" x14ac:dyDescent="0.2">
      <c r="A3554">
        <v>-9675.7163473798428</v>
      </c>
    </row>
    <row r="3555" spans="1:1" x14ac:dyDescent="0.2">
      <c r="A3555">
        <v>2683.3917811611027</v>
      </c>
    </row>
    <row r="3556" spans="1:1" x14ac:dyDescent="0.2">
      <c r="A3556">
        <v>-40512.956001252634</v>
      </c>
    </row>
    <row r="3557" spans="1:1" x14ac:dyDescent="0.2">
      <c r="A3557">
        <v>-15234.689036475029</v>
      </c>
    </row>
    <row r="3558" spans="1:1" x14ac:dyDescent="0.2">
      <c r="A3558">
        <v>5758.1340890847496</v>
      </c>
    </row>
    <row r="3559" spans="1:1" x14ac:dyDescent="0.2">
      <c r="A3559">
        <v>4813.7539769368595</v>
      </c>
    </row>
    <row r="3560" spans="1:1" x14ac:dyDescent="0.2">
      <c r="A3560">
        <v>-23926.978063811839</v>
      </c>
    </row>
    <row r="3561" spans="1:1" x14ac:dyDescent="0.2">
      <c r="A3561">
        <v>10089.3527913586</v>
      </c>
    </row>
    <row r="3562" spans="1:1" x14ac:dyDescent="0.2">
      <c r="A3562">
        <v>4458.0583320966689</v>
      </c>
    </row>
    <row r="3563" spans="1:1" x14ac:dyDescent="0.2">
      <c r="A3563">
        <v>12485.402905320399</v>
      </c>
    </row>
    <row r="3564" spans="1:1" x14ac:dyDescent="0.2">
      <c r="A3564">
        <v>1639.1553911350784</v>
      </c>
    </row>
    <row r="3565" spans="1:1" x14ac:dyDescent="0.2">
      <c r="A3565">
        <v>5657.727227076306</v>
      </c>
    </row>
    <row r="3566" spans="1:1" x14ac:dyDescent="0.2">
      <c r="A3566">
        <v>8813.61204128596</v>
      </c>
    </row>
    <row r="3567" spans="1:1" x14ac:dyDescent="0.2">
      <c r="A3567">
        <v>13729.552481887629</v>
      </c>
    </row>
    <row r="3568" spans="1:1" x14ac:dyDescent="0.2">
      <c r="A3568">
        <v>8786.2508920581022</v>
      </c>
    </row>
    <row r="3569" spans="1:1" x14ac:dyDescent="0.2">
      <c r="A3569">
        <v>20310.98907845869</v>
      </c>
    </row>
    <row r="3570" spans="1:1" x14ac:dyDescent="0.2">
      <c r="A3570">
        <v>5667.3554208963469</v>
      </c>
    </row>
    <row r="3571" spans="1:1" x14ac:dyDescent="0.2">
      <c r="A3571">
        <v>12659.849647413677</v>
      </c>
    </row>
    <row r="3572" spans="1:1" x14ac:dyDescent="0.2">
      <c r="A3572">
        <v>14204.051949015295</v>
      </c>
    </row>
    <row r="3573" spans="1:1" x14ac:dyDescent="0.2">
      <c r="A3573">
        <v>9412.9365195509163</v>
      </c>
    </row>
    <row r="3574" spans="1:1" x14ac:dyDescent="0.2">
      <c r="A3574">
        <v>9784.4632403340365</v>
      </c>
    </row>
    <row r="3575" spans="1:1" x14ac:dyDescent="0.2">
      <c r="A3575">
        <v>-9997.5381732115056</v>
      </c>
    </row>
    <row r="3576" spans="1:1" x14ac:dyDescent="0.2">
      <c r="A3576">
        <v>13161.835712103057</v>
      </c>
    </row>
    <row r="3577" spans="1:1" x14ac:dyDescent="0.2">
      <c r="A3577">
        <v>-9552.33785299788</v>
      </c>
    </row>
    <row r="3578" spans="1:1" x14ac:dyDescent="0.2">
      <c r="A3578">
        <v>-1710.2341347366164</v>
      </c>
    </row>
    <row r="3579" spans="1:1" x14ac:dyDescent="0.2">
      <c r="A3579">
        <v>9785.2296952842153</v>
      </c>
    </row>
    <row r="3580" spans="1:1" x14ac:dyDescent="0.2">
      <c r="A3580">
        <v>12474.231789323734</v>
      </c>
    </row>
    <row r="3581" spans="1:1" x14ac:dyDescent="0.2">
      <c r="A3581">
        <v>-7063.9978504760657</v>
      </c>
    </row>
    <row r="3582" spans="1:1" x14ac:dyDescent="0.2">
      <c r="A3582">
        <v>-3902.0741249966086</v>
      </c>
    </row>
    <row r="3583" spans="1:1" x14ac:dyDescent="0.2">
      <c r="A3583">
        <v>-3586.9866495482565</v>
      </c>
    </row>
    <row r="3584" spans="1:1" x14ac:dyDescent="0.2">
      <c r="A3584">
        <v>7134.1334428674309</v>
      </c>
    </row>
    <row r="3585" spans="1:1" x14ac:dyDescent="0.2">
      <c r="A3585">
        <v>9315.7755701151909</v>
      </c>
    </row>
    <row r="3586" spans="1:1" x14ac:dyDescent="0.2">
      <c r="A3586">
        <v>-476.8541384342825</v>
      </c>
    </row>
    <row r="3587" spans="1:1" x14ac:dyDescent="0.2">
      <c r="A3587">
        <v>11496.735548011435</v>
      </c>
    </row>
    <row r="3588" spans="1:1" x14ac:dyDescent="0.2">
      <c r="A3588">
        <v>11311.844604566169</v>
      </c>
    </row>
    <row r="3589" spans="1:1" x14ac:dyDescent="0.2">
      <c r="A3589">
        <v>11849.514270286949</v>
      </c>
    </row>
    <row r="3590" spans="1:1" x14ac:dyDescent="0.2">
      <c r="A3590">
        <v>-9546.5503426351934</v>
      </c>
    </row>
    <row r="3591" spans="1:1" x14ac:dyDescent="0.2">
      <c r="A3591">
        <v>282.14946100028465</v>
      </c>
    </row>
    <row r="3592" spans="1:1" x14ac:dyDescent="0.2">
      <c r="A3592">
        <v>-4032.0787660272326</v>
      </c>
    </row>
    <row r="3593" spans="1:1" x14ac:dyDescent="0.2">
      <c r="A3593">
        <v>10758.877698091499</v>
      </c>
    </row>
    <row r="3594" spans="1:1" x14ac:dyDescent="0.2">
      <c r="A3594">
        <v>-6857.4300245013437</v>
      </c>
    </row>
    <row r="3595" spans="1:1" x14ac:dyDescent="0.2">
      <c r="A3595">
        <v>-10416.581986872479</v>
      </c>
    </row>
    <row r="3596" spans="1:1" x14ac:dyDescent="0.2">
      <c r="A3596">
        <v>3611.7599720742146</v>
      </c>
    </row>
    <row r="3597" spans="1:1" x14ac:dyDescent="0.2">
      <c r="A3597">
        <v>-7478.6945597199374</v>
      </c>
    </row>
    <row r="3598" spans="1:1" x14ac:dyDescent="0.2">
      <c r="A3598">
        <v>11338.662843584025</v>
      </c>
    </row>
    <row r="3599" spans="1:1" x14ac:dyDescent="0.2">
      <c r="A3599">
        <v>11057.477898656274</v>
      </c>
    </row>
    <row r="3600" spans="1:1" x14ac:dyDescent="0.2">
      <c r="A3600">
        <v>3743.1643356329878</v>
      </c>
    </row>
    <row r="3601" spans="1:1" x14ac:dyDescent="0.2">
      <c r="A3601">
        <v>5510.2151087633683</v>
      </c>
    </row>
    <row r="3602" spans="1:1" x14ac:dyDescent="0.2">
      <c r="A3602">
        <v>14005.167597072694</v>
      </c>
    </row>
    <row r="3603" spans="1:1" x14ac:dyDescent="0.2">
      <c r="A3603">
        <v>11666.616348103504</v>
      </c>
    </row>
    <row r="3604" spans="1:1" x14ac:dyDescent="0.2">
      <c r="A3604">
        <v>3476.2193850095791</v>
      </c>
    </row>
    <row r="3605" spans="1:1" x14ac:dyDescent="0.2">
      <c r="A3605">
        <v>-6345.200151328434</v>
      </c>
    </row>
    <row r="3606" spans="1:1" x14ac:dyDescent="0.2">
      <c r="A3606">
        <v>4227.4031806247658</v>
      </c>
    </row>
    <row r="3607" spans="1:1" x14ac:dyDescent="0.2">
      <c r="A3607">
        <v>6027.9177333469561</v>
      </c>
    </row>
    <row r="3608" spans="1:1" x14ac:dyDescent="0.2">
      <c r="A3608">
        <v>-16338.038141583791</v>
      </c>
    </row>
    <row r="3609" spans="1:1" x14ac:dyDescent="0.2">
      <c r="A3609">
        <v>660.20590568243642</v>
      </c>
    </row>
    <row r="3610" spans="1:1" x14ac:dyDescent="0.2">
      <c r="A3610">
        <v>-14241.478836752765</v>
      </c>
    </row>
    <row r="3611" spans="1:1" x14ac:dyDescent="0.2">
      <c r="A3611">
        <v>11138.455735753028</v>
      </c>
    </row>
    <row r="3612" spans="1:1" x14ac:dyDescent="0.2">
      <c r="A3612">
        <v>6044.9456809983531</v>
      </c>
    </row>
    <row r="3613" spans="1:1" x14ac:dyDescent="0.2">
      <c r="A3613">
        <v>16474.854080564081</v>
      </c>
    </row>
    <row r="3614" spans="1:1" x14ac:dyDescent="0.2">
      <c r="A3614">
        <v>9665.9047327500302</v>
      </c>
    </row>
    <row r="3615" spans="1:1" x14ac:dyDescent="0.2">
      <c r="A3615">
        <v>-8988.9887213004404</v>
      </c>
    </row>
    <row r="3616" spans="1:1" x14ac:dyDescent="0.2">
      <c r="A3616">
        <v>-831.02557959232945</v>
      </c>
    </row>
    <row r="3617" spans="1:1" x14ac:dyDescent="0.2">
      <c r="A3617">
        <v>-19136.67751265096</v>
      </c>
    </row>
    <row r="3618" spans="1:1" x14ac:dyDescent="0.2">
      <c r="A3618">
        <v>13998.505756764556</v>
      </c>
    </row>
    <row r="3619" spans="1:1" x14ac:dyDescent="0.2">
      <c r="A3619">
        <v>9269.4763641930185</v>
      </c>
    </row>
    <row r="3620" spans="1:1" x14ac:dyDescent="0.2">
      <c r="A3620">
        <v>-7774.4050683116657</v>
      </c>
    </row>
    <row r="3621" spans="1:1" x14ac:dyDescent="0.2">
      <c r="A3621">
        <v>8535.525642596418</v>
      </c>
    </row>
    <row r="3622" spans="1:1" x14ac:dyDescent="0.2">
      <c r="A3622">
        <v>-4579.5700798713951</v>
      </c>
    </row>
    <row r="3623" spans="1:1" x14ac:dyDescent="0.2">
      <c r="A3623">
        <v>4248.9828336244391</v>
      </c>
    </row>
    <row r="3624" spans="1:1" x14ac:dyDescent="0.2">
      <c r="A3624">
        <v>663.85098384029698</v>
      </c>
    </row>
    <row r="3625" spans="1:1" x14ac:dyDescent="0.2">
      <c r="A3625">
        <v>1460.8413012725068</v>
      </c>
    </row>
    <row r="3626" spans="1:1" x14ac:dyDescent="0.2">
      <c r="A3626">
        <v>12755.140221926005</v>
      </c>
    </row>
    <row r="3627" spans="1:1" x14ac:dyDescent="0.2">
      <c r="A3627">
        <v>23403.889677470492</v>
      </c>
    </row>
    <row r="3628" spans="1:1" x14ac:dyDescent="0.2">
      <c r="A3628">
        <v>-2860.3967079910217</v>
      </c>
    </row>
    <row r="3629" spans="1:1" x14ac:dyDescent="0.2">
      <c r="A3629">
        <v>-249.14503329561558</v>
      </c>
    </row>
    <row r="3630" spans="1:1" x14ac:dyDescent="0.2">
      <c r="A3630">
        <v>1993.0662094941945</v>
      </c>
    </row>
    <row r="3631" spans="1:1" x14ac:dyDescent="0.2">
      <c r="A3631">
        <v>-28131.326373321121</v>
      </c>
    </row>
    <row r="3632" spans="1:1" x14ac:dyDescent="0.2">
      <c r="A3632">
        <v>-550.27178462958545</v>
      </c>
    </row>
    <row r="3633" spans="1:1" x14ac:dyDescent="0.2">
      <c r="A3633">
        <v>-16535.726732357405</v>
      </c>
    </row>
    <row r="3634" spans="1:1" x14ac:dyDescent="0.2">
      <c r="A3634">
        <v>-2052.0693872114643</v>
      </c>
    </row>
    <row r="3635" spans="1:1" x14ac:dyDescent="0.2">
      <c r="A3635">
        <v>6516.619089997781</v>
      </c>
    </row>
    <row r="3636" spans="1:1" x14ac:dyDescent="0.2">
      <c r="A3636">
        <v>4421.4856218415662</v>
      </c>
    </row>
    <row r="3637" spans="1:1" x14ac:dyDescent="0.2">
      <c r="A3637">
        <v>-2743.272280778212</v>
      </c>
    </row>
    <row r="3638" spans="1:1" x14ac:dyDescent="0.2">
      <c r="A3638">
        <v>-3025.5982239043806</v>
      </c>
    </row>
    <row r="3639" spans="1:1" x14ac:dyDescent="0.2">
      <c r="A3639">
        <v>-11888.725985409284</v>
      </c>
    </row>
    <row r="3640" spans="1:1" x14ac:dyDescent="0.2">
      <c r="A3640">
        <v>-9039.0959626524709</v>
      </c>
    </row>
    <row r="3641" spans="1:1" x14ac:dyDescent="0.2">
      <c r="A3641">
        <v>-3101.7766693941667</v>
      </c>
    </row>
    <row r="3642" spans="1:1" x14ac:dyDescent="0.2">
      <c r="A3642">
        <v>-6421.801370279718</v>
      </c>
    </row>
    <row r="3643" spans="1:1" x14ac:dyDescent="0.2">
      <c r="A3643">
        <v>-10064.172853844299</v>
      </c>
    </row>
    <row r="3644" spans="1:1" x14ac:dyDescent="0.2">
      <c r="A3644">
        <v>6628.3187871958362</v>
      </c>
    </row>
    <row r="3645" spans="1:1" x14ac:dyDescent="0.2">
      <c r="A3645">
        <v>-24094.700398690242</v>
      </c>
    </row>
    <row r="3646" spans="1:1" x14ac:dyDescent="0.2">
      <c r="A3646">
        <v>787.06375824427232</v>
      </c>
    </row>
    <row r="3647" spans="1:1" x14ac:dyDescent="0.2">
      <c r="A3647">
        <v>2435.2978972195124</v>
      </c>
    </row>
    <row r="3648" spans="1:1" x14ac:dyDescent="0.2">
      <c r="A3648">
        <v>10003.406730066898</v>
      </c>
    </row>
    <row r="3649" spans="1:1" x14ac:dyDescent="0.2">
      <c r="A3649">
        <v>494.97191397441202</v>
      </c>
    </row>
    <row r="3650" spans="1:1" x14ac:dyDescent="0.2">
      <c r="A3650">
        <v>-506.73993434367003</v>
      </c>
    </row>
    <row r="3651" spans="1:1" x14ac:dyDescent="0.2">
      <c r="A3651">
        <v>-7407.1426785773365</v>
      </c>
    </row>
    <row r="3652" spans="1:1" x14ac:dyDescent="0.2">
      <c r="A3652">
        <v>1531.1986472455319</v>
      </c>
    </row>
    <row r="3653" spans="1:1" x14ac:dyDescent="0.2">
      <c r="A3653">
        <v>-3069.5208814547514</v>
      </c>
    </row>
    <row r="3654" spans="1:1" x14ac:dyDescent="0.2">
      <c r="A3654">
        <v>9168.8951635930571</v>
      </c>
    </row>
    <row r="3655" spans="1:1" x14ac:dyDescent="0.2">
      <c r="A3655">
        <v>-9331.2112597709056</v>
      </c>
    </row>
    <row r="3656" spans="1:1" x14ac:dyDescent="0.2">
      <c r="A3656">
        <v>-8656.0002099433332</v>
      </c>
    </row>
    <row r="3657" spans="1:1" x14ac:dyDescent="0.2">
      <c r="A3657">
        <v>-988.09577753700432</v>
      </c>
    </row>
    <row r="3658" spans="1:1" x14ac:dyDescent="0.2">
      <c r="A3658">
        <v>-3776.7870740185026</v>
      </c>
    </row>
    <row r="3659" spans="1:1" x14ac:dyDescent="0.2">
      <c r="A3659">
        <v>-4817.5276132688741</v>
      </c>
    </row>
    <row r="3660" spans="1:1" x14ac:dyDescent="0.2">
      <c r="A3660">
        <v>-1840.5322027633956</v>
      </c>
    </row>
    <row r="3661" spans="1:1" x14ac:dyDescent="0.2">
      <c r="A3661">
        <v>13908.417106419569</v>
      </c>
    </row>
    <row r="3662" spans="1:1" x14ac:dyDescent="0.2">
      <c r="A3662">
        <v>-14664.316075110633</v>
      </c>
    </row>
    <row r="3663" spans="1:1" x14ac:dyDescent="0.2">
      <c r="A3663">
        <v>5518.9078942388005</v>
      </c>
    </row>
    <row r="3664" spans="1:1" x14ac:dyDescent="0.2">
      <c r="A3664">
        <v>7721.89724927512</v>
      </c>
    </row>
    <row r="3665" spans="1:1" x14ac:dyDescent="0.2">
      <c r="A3665">
        <v>23564.428830443008</v>
      </c>
    </row>
    <row r="3666" spans="1:1" x14ac:dyDescent="0.2">
      <c r="A3666">
        <v>-12155.031828753737</v>
      </c>
    </row>
    <row r="3667" spans="1:1" x14ac:dyDescent="0.2">
      <c r="A3667">
        <v>15621.511791679746</v>
      </c>
    </row>
    <row r="3668" spans="1:1" x14ac:dyDescent="0.2">
      <c r="A3668">
        <v>2804.9919469431043</v>
      </c>
    </row>
    <row r="3669" spans="1:1" x14ac:dyDescent="0.2">
      <c r="A3669">
        <v>-3871.8546977772785</v>
      </c>
    </row>
    <row r="3670" spans="1:1" x14ac:dyDescent="0.2">
      <c r="A3670">
        <v>2828.2158424122608</v>
      </c>
    </row>
    <row r="3671" spans="1:1" x14ac:dyDescent="0.2">
      <c r="A3671">
        <v>-10472.131230332714</v>
      </c>
    </row>
    <row r="3672" spans="1:1" x14ac:dyDescent="0.2">
      <c r="A3672">
        <v>100.79664509225404</v>
      </c>
    </row>
    <row r="3673" spans="1:1" x14ac:dyDescent="0.2">
      <c r="A3673">
        <v>1391.5133192861394</v>
      </c>
    </row>
    <row r="3674" spans="1:1" x14ac:dyDescent="0.2">
      <c r="A3674">
        <v>6921.3647594338981</v>
      </c>
    </row>
    <row r="3675" spans="1:1" x14ac:dyDescent="0.2">
      <c r="A3675">
        <v>8224.5038509252481</v>
      </c>
    </row>
    <row r="3676" spans="1:1" x14ac:dyDescent="0.2">
      <c r="A3676">
        <v>6083.5813235412352</v>
      </c>
    </row>
    <row r="3677" spans="1:1" x14ac:dyDescent="0.2">
      <c r="A3677">
        <v>5675.605780324724</v>
      </c>
    </row>
    <row r="3678" spans="1:1" x14ac:dyDescent="0.2">
      <c r="A3678">
        <v>-12056.192917781125</v>
      </c>
    </row>
    <row r="3679" spans="1:1" x14ac:dyDescent="0.2">
      <c r="A3679">
        <v>5800.9127684027771</v>
      </c>
    </row>
    <row r="3680" spans="1:1" x14ac:dyDescent="0.2">
      <c r="A3680">
        <v>-6178.0460525426897</v>
      </c>
    </row>
    <row r="3681" spans="1:1" x14ac:dyDescent="0.2">
      <c r="A3681">
        <v>14058.449414098199</v>
      </c>
    </row>
    <row r="3682" spans="1:1" x14ac:dyDescent="0.2">
      <c r="A3682">
        <v>-18173.988453154336</v>
      </c>
    </row>
    <row r="3683" spans="1:1" x14ac:dyDescent="0.2">
      <c r="A3683">
        <v>6696.1461707169947</v>
      </c>
    </row>
    <row r="3684" spans="1:1" x14ac:dyDescent="0.2">
      <c r="A3684">
        <v>9938.8772879662574</v>
      </c>
    </row>
    <row r="3685" spans="1:1" x14ac:dyDescent="0.2">
      <c r="A3685">
        <v>-5162.8118437736703</v>
      </c>
    </row>
    <row r="3686" spans="1:1" x14ac:dyDescent="0.2">
      <c r="A3686">
        <v>9160.8074992002948</v>
      </c>
    </row>
    <row r="3687" spans="1:1" x14ac:dyDescent="0.2">
      <c r="A3687">
        <v>-4849.3816784281807</v>
      </c>
    </row>
    <row r="3688" spans="1:1" x14ac:dyDescent="0.2">
      <c r="A3688">
        <v>-434.14074016569066</v>
      </c>
    </row>
    <row r="3689" spans="1:1" x14ac:dyDescent="0.2">
      <c r="A3689">
        <v>5539.1724718704354</v>
      </c>
    </row>
    <row r="3690" spans="1:1" x14ac:dyDescent="0.2">
      <c r="A3690">
        <v>-17527.1537169863</v>
      </c>
    </row>
    <row r="3691" spans="1:1" x14ac:dyDescent="0.2">
      <c r="A3691">
        <v>12073.635723705404</v>
      </c>
    </row>
    <row r="3692" spans="1:1" x14ac:dyDescent="0.2">
      <c r="A3692">
        <v>-1207.1281016964931</v>
      </c>
    </row>
    <row r="3693" spans="1:1" x14ac:dyDescent="0.2">
      <c r="A3693">
        <v>9968.6378462463035</v>
      </c>
    </row>
    <row r="3694" spans="1:1" x14ac:dyDescent="0.2">
      <c r="A3694">
        <v>4483.9434246636229</v>
      </c>
    </row>
    <row r="3695" spans="1:1" x14ac:dyDescent="0.2">
      <c r="A3695">
        <v>3752.0022584992694</v>
      </c>
    </row>
    <row r="3696" spans="1:1" x14ac:dyDescent="0.2">
      <c r="A3696">
        <v>-8656.9581317403354</v>
      </c>
    </row>
    <row r="3697" spans="1:1" x14ac:dyDescent="0.2">
      <c r="A3697">
        <v>-15277.853584877041</v>
      </c>
    </row>
    <row r="3698" spans="1:1" x14ac:dyDescent="0.2">
      <c r="A3698">
        <v>4018.0109780955536</v>
      </c>
    </row>
    <row r="3699" spans="1:1" x14ac:dyDescent="0.2">
      <c r="A3699">
        <v>4784.0534063810774</v>
      </c>
    </row>
    <row r="3700" spans="1:1" x14ac:dyDescent="0.2">
      <c r="A3700">
        <v>-337.1497976470273</v>
      </c>
    </row>
    <row r="3701" spans="1:1" x14ac:dyDescent="0.2">
      <c r="A3701">
        <v>7418.1848985273391</v>
      </c>
    </row>
    <row r="3702" spans="1:1" x14ac:dyDescent="0.2">
      <c r="A3702">
        <v>-11843.116925655166</v>
      </c>
    </row>
    <row r="3703" spans="1:1" x14ac:dyDescent="0.2">
      <c r="A3703">
        <v>-3588.2118166407163</v>
      </c>
    </row>
    <row r="3704" spans="1:1" x14ac:dyDescent="0.2">
      <c r="A3704">
        <v>26982.639625198033</v>
      </c>
    </row>
    <row r="3705" spans="1:1" x14ac:dyDescent="0.2">
      <c r="A3705">
        <v>9808.0944883301272</v>
      </c>
    </row>
    <row r="3706" spans="1:1" x14ac:dyDescent="0.2">
      <c r="A3706">
        <v>-295.66856547433417</v>
      </c>
    </row>
    <row r="3707" spans="1:1" x14ac:dyDescent="0.2">
      <c r="A3707">
        <v>-6587.7885361043154</v>
      </c>
    </row>
    <row r="3708" spans="1:1" x14ac:dyDescent="0.2">
      <c r="A3708">
        <v>-2965.4645735597878</v>
      </c>
    </row>
    <row r="3709" spans="1:1" x14ac:dyDescent="0.2">
      <c r="A3709">
        <v>11442.384178363762</v>
      </c>
    </row>
    <row r="3710" spans="1:1" x14ac:dyDescent="0.2">
      <c r="A3710">
        <v>4151.2250053410389</v>
      </c>
    </row>
    <row r="3711" spans="1:1" x14ac:dyDescent="0.2">
      <c r="A3711">
        <v>-2883.4145188865077</v>
      </c>
    </row>
    <row r="3712" spans="1:1" x14ac:dyDescent="0.2">
      <c r="A3712">
        <v>-12315.589081987942</v>
      </c>
    </row>
    <row r="3713" spans="1:1" x14ac:dyDescent="0.2">
      <c r="A3713">
        <v>-9618.4574175124872</v>
      </c>
    </row>
    <row r="3714" spans="1:1" x14ac:dyDescent="0.2">
      <c r="A3714">
        <v>2037.9224028600438</v>
      </c>
    </row>
    <row r="3715" spans="1:1" x14ac:dyDescent="0.2">
      <c r="A3715">
        <v>-8278.8143042008742</v>
      </c>
    </row>
    <row r="3716" spans="1:1" x14ac:dyDescent="0.2">
      <c r="A3716">
        <v>-5259.1232037293958</v>
      </c>
    </row>
    <row r="3717" spans="1:1" x14ac:dyDescent="0.2">
      <c r="A3717">
        <v>700.20262549736071</v>
      </c>
    </row>
    <row r="3718" spans="1:1" x14ac:dyDescent="0.2">
      <c r="A3718">
        <v>12045.580379110324</v>
      </c>
    </row>
    <row r="3719" spans="1:1" x14ac:dyDescent="0.2">
      <c r="A3719">
        <v>-1665.6048909258971</v>
      </c>
    </row>
    <row r="3720" spans="1:1" x14ac:dyDescent="0.2">
      <c r="A3720">
        <v>766.7237672987394</v>
      </c>
    </row>
    <row r="3721" spans="1:1" x14ac:dyDescent="0.2">
      <c r="A3721">
        <v>-5223.05938883411</v>
      </c>
    </row>
    <row r="3722" spans="1:1" x14ac:dyDescent="0.2">
      <c r="A3722">
        <v>14420.922616186494</v>
      </c>
    </row>
    <row r="3723" spans="1:1" x14ac:dyDescent="0.2">
      <c r="A3723">
        <v>5839.2342986771837</v>
      </c>
    </row>
    <row r="3724" spans="1:1" x14ac:dyDescent="0.2">
      <c r="A3724">
        <v>8426.9957023273164</v>
      </c>
    </row>
    <row r="3725" spans="1:1" x14ac:dyDescent="0.2">
      <c r="A3725">
        <v>784.45599601769936</v>
      </c>
    </row>
    <row r="3726" spans="1:1" x14ac:dyDescent="0.2">
      <c r="A3726">
        <v>-16382.344916610338</v>
      </c>
    </row>
    <row r="3727" spans="1:1" x14ac:dyDescent="0.2">
      <c r="A3727">
        <v>9863.6390781782684</v>
      </c>
    </row>
    <row r="3728" spans="1:1" x14ac:dyDescent="0.2">
      <c r="A3728">
        <v>-16063.269435713417</v>
      </c>
    </row>
    <row r="3729" spans="1:1" x14ac:dyDescent="0.2">
      <c r="A3729">
        <v>-470.26512974192156</v>
      </c>
    </row>
    <row r="3730" spans="1:1" x14ac:dyDescent="0.2">
      <c r="A3730">
        <v>-13328.668545925815</v>
      </c>
    </row>
    <row r="3731" spans="1:1" x14ac:dyDescent="0.2">
      <c r="A3731">
        <v>6764.2617263102729</v>
      </c>
    </row>
    <row r="3732" spans="1:1" x14ac:dyDescent="0.2">
      <c r="A3732">
        <v>9410.2636013944284</v>
      </c>
    </row>
    <row r="3733" spans="1:1" x14ac:dyDescent="0.2">
      <c r="A3733">
        <v>-19401.514149822702</v>
      </c>
    </row>
    <row r="3734" spans="1:1" x14ac:dyDescent="0.2">
      <c r="A3734">
        <v>-20959.861329637642</v>
      </c>
    </row>
    <row r="3735" spans="1:1" x14ac:dyDescent="0.2">
      <c r="A3735">
        <v>13743.501485729241</v>
      </c>
    </row>
    <row r="3736" spans="1:1" x14ac:dyDescent="0.2">
      <c r="A3736">
        <v>2672.6630464871996</v>
      </c>
    </row>
    <row r="3737" spans="1:1" x14ac:dyDescent="0.2">
      <c r="A3737">
        <v>6270.5521948654496</v>
      </c>
    </row>
    <row r="3738" spans="1:1" x14ac:dyDescent="0.2">
      <c r="A3738">
        <v>8005.9615926041151</v>
      </c>
    </row>
    <row r="3739" spans="1:1" x14ac:dyDescent="0.2">
      <c r="A3739">
        <v>1217.8025360501488</v>
      </c>
    </row>
    <row r="3740" spans="1:1" x14ac:dyDescent="0.2">
      <c r="A3740">
        <v>10592.67585392372</v>
      </c>
    </row>
    <row r="3741" spans="1:1" x14ac:dyDescent="0.2">
      <c r="A3741">
        <v>4703.0955487348838</v>
      </c>
    </row>
    <row r="3742" spans="1:1" x14ac:dyDescent="0.2">
      <c r="A3742">
        <v>-1349.7043399022659</v>
      </c>
    </row>
    <row r="3743" spans="1:1" x14ac:dyDescent="0.2">
      <c r="A3743">
        <v>-1780.2403768155782</v>
      </c>
    </row>
    <row r="3744" spans="1:1" x14ac:dyDescent="0.2">
      <c r="A3744">
        <v>6062.6538157575997</v>
      </c>
    </row>
    <row r="3745" spans="1:1" x14ac:dyDescent="0.2">
      <c r="A3745">
        <v>15481.894247552438</v>
      </c>
    </row>
    <row r="3746" spans="1:1" x14ac:dyDescent="0.2">
      <c r="A3746">
        <v>-14248.585044365609</v>
      </c>
    </row>
    <row r="3747" spans="1:1" x14ac:dyDescent="0.2">
      <c r="A3747">
        <v>-1593.8658891497762</v>
      </c>
    </row>
    <row r="3748" spans="1:1" x14ac:dyDescent="0.2">
      <c r="A3748">
        <v>9352.5450948488724</v>
      </c>
    </row>
    <row r="3749" spans="1:1" x14ac:dyDescent="0.2">
      <c r="A3749">
        <v>-24119.009075450245</v>
      </c>
    </row>
    <row r="3750" spans="1:1" x14ac:dyDescent="0.2">
      <c r="A3750">
        <v>5030.2181996160361</v>
      </c>
    </row>
    <row r="3751" spans="1:1" x14ac:dyDescent="0.2">
      <c r="A3751">
        <v>-16393.15240586549</v>
      </c>
    </row>
    <row r="3752" spans="1:1" x14ac:dyDescent="0.2">
      <c r="A3752">
        <v>-3161.749632641382</v>
      </c>
    </row>
    <row r="3753" spans="1:1" x14ac:dyDescent="0.2">
      <c r="A3753">
        <v>13327.06660980091</v>
      </c>
    </row>
    <row r="3754" spans="1:1" x14ac:dyDescent="0.2">
      <c r="A3754">
        <v>21645.397432803089</v>
      </c>
    </row>
    <row r="3755" spans="1:1" x14ac:dyDescent="0.2">
      <c r="A3755">
        <v>-3039.1353792292648</v>
      </c>
    </row>
    <row r="3756" spans="1:1" x14ac:dyDescent="0.2">
      <c r="A3756">
        <v>-3201.6694282877143</v>
      </c>
    </row>
    <row r="3757" spans="1:1" x14ac:dyDescent="0.2">
      <c r="A3757">
        <v>3959.1493246128957</v>
      </c>
    </row>
    <row r="3758" spans="1:1" x14ac:dyDescent="0.2">
      <c r="A3758">
        <v>-10168.101009059523</v>
      </c>
    </row>
    <row r="3759" spans="1:1" x14ac:dyDescent="0.2">
      <c r="A3759">
        <v>-3391.1085530617565</v>
      </c>
    </row>
    <row r="3760" spans="1:1" x14ac:dyDescent="0.2">
      <c r="A3760">
        <v>-6210.9859011320514</v>
      </c>
    </row>
    <row r="3761" spans="1:1" x14ac:dyDescent="0.2">
      <c r="A3761">
        <v>3951.7894317944883</v>
      </c>
    </row>
    <row r="3762" spans="1:1" x14ac:dyDescent="0.2">
      <c r="A3762">
        <v>-4389.7635231410968</v>
      </c>
    </row>
    <row r="3763" spans="1:1" x14ac:dyDescent="0.2">
      <c r="A3763">
        <v>7157.071355322958</v>
      </c>
    </row>
    <row r="3764" spans="1:1" x14ac:dyDescent="0.2">
      <c r="A3764">
        <v>-1040.8553845406568</v>
      </c>
    </row>
    <row r="3765" spans="1:1" x14ac:dyDescent="0.2">
      <c r="A3765">
        <v>11863.997455760662</v>
      </c>
    </row>
    <row r="3766" spans="1:1" x14ac:dyDescent="0.2">
      <c r="A3766">
        <v>5971.4930554062885</v>
      </c>
    </row>
    <row r="3767" spans="1:1" x14ac:dyDescent="0.2">
      <c r="A3767">
        <v>12048.050105376256</v>
      </c>
    </row>
    <row r="3768" spans="1:1" x14ac:dyDescent="0.2">
      <c r="A3768">
        <v>4581.0682353093289</v>
      </c>
    </row>
    <row r="3769" spans="1:1" x14ac:dyDescent="0.2">
      <c r="A3769">
        <v>-12867.020426282659</v>
      </c>
    </row>
    <row r="3770" spans="1:1" x14ac:dyDescent="0.2">
      <c r="A3770">
        <v>15959.09450625928</v>
      </c>
    </row>
    <row r="3771" spans="1:1" x14ac:dyDescent="0.2">
      <c r="A3771">
        <v>-8939.3472734147217</v>
      </c>
    </row>
    <row r="3772" spans="1:1" x14ac:dyDescent="0.2">
      <c r="A3772">
        <v>14077.023169372362</v>
      </c>
    </row>
    <row r="3773" spans="1:1" x14ac:dyDescent="0.2">
      <c r="A3773">
        <v>-5071.8976511601068</v>
      </c>
    </row>
    <row r="3774" spans="1:1" x14ac:dyDescent="0.2">
      <c r="A3774">
        <v>-1777.358429441636</v>
      </c>
    </row>
    <row r="3775" spans="1:1" x14ac:dyDescent="0.2">
      <c r="A3775">
        <v>2442.0497669923934</v>
      </c>
    </row>
    <row r="3776" spans="1:1" x14ac:dyDescent="0.2">
      <c r="A3776">
        <v>-14110.862499074836</v>
      </c>
    </row>
    <row r="3777" spans="1:1" x14ac:dyDescent="0.2">
      <c r="A3777">
        <v>7230.4531595949957</v>
      </c>
    </row>
    <row r="3778" spans="1:1" x14ac:dyDescent="0.2">
      <c r="A3778">
        <v>3627.6149352819775</v>
      </c>
    </row>
    <row r="3779" spans="1:1" x14ac:dyDescent="0.2">
      <c r="A3779">
        <v>1313.6053803348041</v>
      </c>
    </row>
    <row r="3780" spans="1:1" x14ac:dyDescent="0.2">
      <c r="A3780">
        <v>-7064.8977501774789</v>
      </c>
    </row>
    <row r="3781" spans="1:1" x14ac:dyDescent="0.2">
      <c r="A3781">
        <v>4832.8538883938454</v>
      </c>
    </row>
    <row r="3782" spans="1:1" x14ac:dyDescent="0.2">
      <c r="A3782">
        <v>-9608.5028882332263</v>
      </c>
    </row>
    <row r="3783" spans="1:1" x14ac:dyDescent="0.2">
      <c r="A3783">
        <v>-13612.148434545205</v>
      </c>
    </row>
    <row r="3784" spans="1:1" x14ac:dyDescent="0.2">
      <c r="A3784">
        <v>-23903.369443233591</v>
      </c>
    </row>
    <row r="3785" spans="1:1" x14ac:dyDescent="0.2">
      <c r="A3785">
        <v>-16206.750327480142</v>
      </c>
    </row>
    <row r="3786" spans="1:1" x14ac:dyDescent="0.2">
      <c r="A3786">
        <v>-4486.0741269683349</v>
      </c>
    </row>
    <row r="3787" spans="1:1" x14ac:dyDescent="0.2">
      <c r="A3787">
        <v>3891.5616773635847</v>
      </c>
    </row>
    <row r="3788" spans="1:1" x14ac:dyDescent="0.2">
      <c r="A3788">
        <v>-5346.4340035282657</v>
      </c>
    </row>
    <row r="3789" spans="1:1" x14ac:dyDescent="0.2">
      <c r="A3789">
        <v>9824.6494384488906</v>
      </c>
    </row>
    <row r="3790" spans="1:1" x14ac:dyDescent="0.2">
      <c r="A3790">
        <v>-15058.912094412459</v>
      </c>
    </row>
    <row r="3791" spans="1:1" x14ac:dyDescent="0.2">
      <c r="A3791">
        <v>16720.282561576634</v>
      </c>
    </row>
    <row r="3792" spans="1:1" x14ac:dyDescent="0.2">
      <c r="A3792">
        <v>-4834.2720227696991</v>
      </c>
    </row>
    <row r="3793" spans="1:1" x14ac:dyDescent="0.2">
      <c r="A3793">
        <v>-929.68053798750043</v>
      </c>
    </row>
    <row r="3794" spans="1:1" x14ac:dyDescent="0.2">
      <c r="A3794">
        <v>13461.433834547497</v>
      </c>
    </row>
    <row r="3795" spans="1:1" x14ac:dyDescent="0.2">
      <c r="A3795">
        <v>10804.219454926759</v>
      </c>
    </row>
    <row r="3796" spans="1:1" x14ac:dyDescent="0.2">
      <c r="A3796">
        <v>7117.0935409665399</v>
      </c>
    </row>
    <row r="3797" spans="1:1" x14ac:dyDescent="0.2">
      <c r="A3797">
        <v>7475.3820572956465</v>
      </c>
    </row>
    <row r="3798" spans="1:1" x14ac:dyDescent="0.2">
      <c r="A3798">
        <v>-4871.2339625522727</v>
      </c>
    </row>
    <row r="3799" spans="1:1" x14ac:dyDescent="0.2">
      <c r="A3799">
        <v>93.260294599691406</v>
      </c>
    </row>
    <row r="3800" spans="1:1" x14ac:dyDescent="0.2">
      <c r="A3800">
        <v>2853.993341888854</v>
      </c>
    </row>
    <row r="3801" spans="1:1" x14ac:dyDescent="0.2">
      <c r="A3801">
        <v>-151.58699934789911</v>
      </c>
    </row>
    <row r="3802" spans="1:1" x14ac:dyDescent="0.2">
      <c r="A3802">
        <v>1379.0825726055191</v>
      </c>
    </row>
    <row r="3803" spans="1:1" x14ac:dyDescent="0.2">
      <c r="A3803">
        <v>3232.5104947488289</v>
      </c>
    </row>
    <row r="3804" spans="1:1" x14ac:dyDescent="0.2">
      <c r="A3804">
        <v>11990.223956984817</v>
      </c>
    </row>
    <row r="3805" spans="1:1" x14ac:dyDescent="0.2">
      <c r="A3805">
        <v>-14868.880526452034</v>
      </c>
    </row>
    <row r="3806" spans="1:1" x14ac:dyDescent="0.2">
      <c r="A3806">
        <v>4816.1579992744955</v>
      </c>
    </row>
    <row r="3807" spans="1:1" x14ac:dyDescent="0.2">
      <c r="A3807">
        <v>-5646.9627542339731</v>
      </c>
    </row>
    <row r="3808" spans="1:1" x14ac:dyDescent="0.2">
      <c r="A3808">
        <v>8028.7003186511574</v>
      </c>
    </row>
    <row r="3809" spans="1:1" x14ac:dyDescent="0.2">
      <c r="A3809">
        <v>3983.312089165207</v>
      </c>
    </row>
    <row r="3810" spans="1:1" x14ac:dyDescent="0.2">
      <c r="A3810">
        <v>53.655312238406623</v>
      </c>
    </row>
    <row r="3811" spans="1:1" x14ac:dyDescent="0.2">
      <c r="A3811">
        <v>2597.13699529937</v>
      </c>
    </row>
    <row r="3812" spans="1:1" x14ac:dyDescent="0.2">
      <c r="A3812">
        <v>13851.679332000553</v>
      </c>
    </row>
    <row r="3813" spans="1:1" x14ac:dyDescent="0.2">
      <c r="A3813">
        <v>18307.825521098159</v>
      </c>
    </row>
    <row r="3814" spans="1:1" x14ac:dyDescent="0.2">
      <c r="A3814">
        <v>2307.0830707385903</v>
      </c>
    </row>
    <row r="3815" spans="1:1" x14ac:dyDescent="0.2">
      <c r="A3815">
        <v>-1358.3217766772141</v>
      </c>
    </row>
    <row r="3816" spans="1:1" x14ac:dyDescent="0.2">
      <c r="A3816">
        <v>-5399.5792835137399</v>
      </c>
    </row>
    <row r="3817" spans="1:1" x14ac:dyDescent="0.2">
      <c r="A3817">
        <v>6261.3295985505683</v>
      </c>
    </row>
    <row r="3818" spans="1:1" x14ac:dyDescent="0.2">
      <c r="A3818">
        <v>16178.501609284926</v>
      </c>
    </row>
    <row r="3819" spans="1:1" x14ac:dyDescent="0.2">
      <c r="A3819">
        <v>-8341.3248522779322</v>
      </c>
    </row>
    <row r="3820" spans="1:1" x14ac:dyDescent="0.2">
      <c r="A3820">
        <v>-399.48348535277182</v>
      </c>
    </row>
    <row r="3821" spans="1:1" x14ac:dyDescent="0.2">
      <c r="A3821">
        <v>-1433.2832124080596</v>
      </c>
    </row>
    <row r="3822" spans="1:1" x14ac:dyDescent="0.2">
      <c r="A3822">
        <v>-6862.5872614166292</v>
      </c>
    </row>
    <row r="3823" spans="1:1" x14ac:dyDescent="0.2">
      <c r="A3823">
        <v>-16348.319104984286</v>
      </c>
    </row>
    <row r="3824" spans="1:1" x14ac:dyDescent="0.2">
      <c r="A3824">
        <v>-1065.8715505720465</v>
      </c>
    </row>
    <row r="3825" spans="1:1" x14ac:dyDescent="0.2">
      <c r="A3825">
        <v>-9308.0269097473938</v>
      </c>
    </row>
    <row r="3826" spans="1:1" x14ac:dyDescent="0.2">
      <c r="A3826">
        <v>13234.344347006641</v>
      </c>
    </row>
    <row r="3827" spans="1:1" x14ac:dyDescent="0.2">
      <c r="A3827">
        <v>368.92237466017832</v>
      </c>
    </row>
    <row r="3828" spans="1:1" x14ac:dyDescent="0.2">
      <c r="A3828">
        <v>11860.76259247103</v>
      </c>
    </row>
    <row r="3829" spans="1:1" x14ac:dyDescent="0.2">
      <c r="A3829">
        <v>713.89844129662379</v>
      </c>
    </row>
    <row r="3830" spans="1:1" x14ac:dyDescent="0.2">
      <c r="A3830">
        <v>9369.3222724297666</v>
      </c>
    </row>
    <row r="3831" spans="1:1" x14ac:dyDescent="0.2">
      <c r="A3831">
        <v>958.45037088124081</v>
      </c>
    </row>
    <row r="3832" spans="1:1" x14ac:dyDescent="0.2">
      <c r="A3832">
        <v>-374.83611315951566</v>
      </c>
    </row>
    <row r="3833" spans="1:1" x14ac:dyDescent="0.2">
      <c r="A3833">
        <v>18357.026235186146</v>
      </c>
    </row>
    <row r="3834" spans="1:1" x14ac:dyDescent="0.2">
      <c r="A3834">
        <v>4228.6934010733967</v>
      </c>
    </row>
    <row r="3835" spans="1:1" x14ac:dyDescent="0.2">
      <c r="A3835">
        <v>-2673.492235105834</v>
      </c>
    </row>
    <row r="3836" spans="1:1" x14ac:dyDescent="0.2">
      <c r="A3836">
        <v>17308.338717015227</v>
      </c>
    </row>
    <row r="3837" spans="1:1" x14ac:dyDescent="0.2">
      <c r="A3837">
        <v>10301.141931450518</v>
      </c>
    </row>
    <row r="3838" spans="1:1" x14ac:dyDescent="0.2">
      <c r="A3838">
        <v>-8943.4258689190028</v>
      </c>
    </row>
    <row r="3839" spans="1:1" x14ac:dyDescent="0.2">
      <c r="A3839">
        <v>9907.3866259930655</v>
      </c>
    </row>
    <row r="3840" spans="1:1" x14ac:dyDescent="0.2">
      <c r="A3840">
        <v>16811.599312881473</v>
      </c>
    </row>
    <row r="3841" spans="1:1" x14ac:dyDescent="0.2">
      <c r="A3841">
        <v>3423.266613442509</v>
      </c>
    </row>
    <row r="3842" spans="1:1" x14ac:dyDescent="0.2">
      <c r="A3842">
        <v>13150.315965007903</v>
      </c>
    </row>
    <row r="3843" spans="1:1" x14ac:dyDescent="0.2">
      <c r="A3843">
        <v>-920.15386991895502</v>
      </c>
    </row>
    <row r="3844" spans="1:1" x14ac:dyDescent="0.2">
      <c r="A3844">
        <v>9771.6424415748043</v>
      </c>
    </row>
    <row r="3845" spans="1:1" x14ac:dyDescent="0.2">
      <c r="A3845">
        <v>4167.3700646040961</v>
      </c>
    </row>
    <row r="3846" spans="1:1" x14ac:dyDescent="0.2">
      <c r="A3846">
        <v>-12874.2717213289</v>
      </c>
    </row>
    <row r="3847" spans="1:1" x14ac:dyDescent="0.2">
      <c r="A3847">
        <v>6116.0097560276045</v>
      </c>
    </row>
    <row r="3848" spans="1:1" x14ac:dyDescent="0.2">
      <c r="A3848">
        <v>3974.3369896170334</v>
      </c>
    </row>
    <row r="3849" spans="1:1" x14ac:dyDescent="0.2">
      <c r="A3849">
        <v>-2011.1112370736082</v>
      </c>
    </row>
    <row r="3850" spans="1:1" x14ac:dyDescent="0.2">
      <c r="A3850">
        <v>13143.871917199751</v>
      </c>
    </row>
    <row r="3851" spans="1:1" x14ac:dyDescent="0.2">
      <c r="A3851">
        <v>-19404.726865170785</v>
      </c>
    </row>
    <row r="3852" spans="1:1" x14ac:dyDescent="0.2">
      <c r="A3852">
        <v>-12339.079610394605</v>
      </c>
    </row>
    <row r="3853" spans="1:1" x14ac:dyDescent="0.2">
      <c r="A3853">
        <v>9349.9388343946775</v>
      </c>
    </row>
    <row r="3854" spans="1:1" x14ac:dyDescent="0.2">
      <c r="A3854">
        <v>5755.6169010606827</v>
      </c>
    </row>
    <row r="3855" spans="1:1" x14ac:dyDescent="0.2">
      <c r="A3855">
        <v>9265.0385732318391</v>
      </c>
    </row>
    <row r="3856" spans="1:1" x14ac:dyDescent="0.2">
      <c r="A3856">
        <v>12238.649456252082</v>
      </c>
    </row>
    <row r="3857" spans="1:1" x14ac:dyDescent="0.2">
      <c r="A3857">
        <v>-2639.7799275823636</v>
      </c>
    </row>
    <row r="3858" spans="1:1" x14ac:dyDescent="0.2">
      <c r="A3858">
        <v>6065.8875399670796</v>
      </c>
    </row>
    <row r="3859" spans="1:1" x14ac:dyDescent="0.2">
      <c r="A3859">
        <v>-5180.1420174802188</v>
      </c>
    </row>
    <row r="3860" spans="1:1" x14ac:dyDescent="0.2">
      <c r="A3860">
        <v>6577.5060064422141</v>
      </c>
    </row>
    <row r="3861" spans="1:1" x14ac:dyDescent="0.2">
      <c r="A3861">
        <v>-10545.849240010371</v>
      </c>
    </row>
    <row r="3862" spans="1:1" x14ac:dyDescent="0.2">
      <c r="A3862">
        <v>6900.1020975567517</v>
      </c>
    </row>
    <row r="3863" spans="1:1" x14ac:dyDescent="0.2">
      <c r="A3863">
        <v>10296.910255066905</v>
      </c>
    </row>
    <row r="3864" spans="1:1" x14ac:dyDescent="0.2">
      <c r="A3864">
        <v>7118.3457963791152</v>
      </c>
    </row>
    <row r="3865" spans="1:1" x14ac:dyDescent="0.2">
      <c r="A3865">
        <v>-10464.819131849916</v>
      </c>
    </row>
    <row r="3866" spans="1:1" x14ac:dyDescent="0.2">
      <c r="A3866">
        <v>-2094.6199627548049</v>
      </c>
    </row>
    <row r="3867" spans="1:1" x14ac:dyDescent="0.2">
      <c r="A3867">
        <v>7052.4214609495248</v>
      </c>
    </row>
    <row r="3868" spans="1:1" x14ac:dyDescent="0.2">
      <c r="A3868">
        <v>3213.0188447767578</v>
      </c>
    </row>
    <row r="3869" spans="1:1" x14ac:dyDescent="0.2">
      <c r="A3869">
        <v>10206.077320754179</v>
      </c>
    </row>
    <row r="3870" spans="1:1" x14ac:dyDescent="0.2">
      <c r="A3870">
        <v>-7502.2807908187096</v>
      </c>
    </row>
    <row r="3871" spans="1:1" x14ac:dyDescent="0.2">
      <c r="A3871">
        <v>4149.2316625874373</v>
      </c>
    </row>
    <row r="3872" spans="1:1" x14ac:dyDescent="0.2">
      <c r="A3872">
        <v>-171.11298627301585</v>
      </c>
    </row>
    <row r="3873" spans="1:1" x14ac:dyDescent="0.2">
      <c r="A3873">
        <v>-583.96699354995508</v>
      </c>
    </row>
    <row r="3874" spans="1:1" x14ac:dyDescent="0.2">
      <c r="A3874">
        <v>-7572.515338274301</v>
      </c>
    </row>
    <row r="3875" spans="1:1" x14ac:dyDescent="0.2">
      <c r="A3875">
        <v>-2368.6453006223601</v>
      </c>
    </row>
    <row r="3876" spans="1:1" x14ac:dyDescent="0.2">
      <c r="A3876">
        <v>3293.9799311552779</v>
      </c>
    </row>
    <row r="3877" spans="1:1" x14ac:dyDescent="0.2">
      <c r="A3877">
        <v>12591.050067548029</v>
      </c>
    </row>
    <row r="3878" spans="1:1" x14ac:dyDescent="0.2">
      <c r="A3878">
        <v>5132.8150803286699</v>
      </c>
    </row>
    <row r="3879" spans="1:1" x14ac:dyDescent="0.2">
      <c r="A3879">
        <v>546.48339306673734</v>
      </c>
    </row>
    <row r="3880" spans="1:1" x14ac:dyDescent="0.2">
      <c r="A3880">
        <v>-771.23047006851994</v>
      </c>
    </row>
    <row r="3881" spans="1:1" x14ac:dyDescent="0.2">
      <c r="A3881">
        <v>-338.08689087221865</v>
      </c>
    </row>
    <row r="3882" spans="1:1" x14ac:dyDescent="0.2">
      <c r="A3882">
        <v>-2877.7672533819568</v>
      </c>
    </row>
    <row r="3883" spans="1:1" x14ac:dyDescent="0.2">
      <c r="A3883">
        <v>4762.3818729277118</v>
      </c>
    </row>
    <row r="3884" spans="1:1" x14ac:dyDescent="0.2">
      <c r="A3884">
        <v>-12376.226297348388</v>
      </c>
    </row>
    <row r="3885" spans="1:1" x14ac:dyDescent="0.2">
      <c r="A3885">
        <v>835.13415816944325</v>
      </c>
    </row>
    <row r="3886" spans="1:1" x14ac:dyDescent="0.2">
      <c r="A3886">
        <v>2710.5283430033305</v>
      </c>
    </row>
    <row r="3887" spans="1:1" x14ac:dyDescent="0.2">
      <c r="A3887">
        <v>1048.1778281744628</v>
      </c>
    </row>
    <row r="3888" spans="1:1" x14ac:dyDescent="0.2">
      <c r="A3888">
        <v>9568.0826608185307</v>
      </c>
    </row>
    <row r="3889" spans="1:1" x14ac:dyDescent="0.2">
      <c r="A3889">
        <v>-25941.646714977629</v>
      </c>
    </row>
    <row r="3890" spans="1:1" x14ac:dyDescent="0.2">
      <c r="A3890">
        <v>6206.941064029932</v>
      </c>
    </row>
    <row r="3891" spans="1:1" x14ac:dyDescent="0.2">
      <c r="A3891">
        <v>1866.5183474215446</v>
      </c>
    </row>
    <row r="3892" spans="1:1" x14ac:dyDescent="0.2">
      <c r="A3892">
        <v>-9414.4942112921271</v>
      </c>
    </row>
    <row r="3893" spans="1:1" x14ac:dyDescent="0.2">
      <c r="A3893">
        <v>14973.178052491916</v>
      </c>
    </row>
    <row r="3894" spans="1:1" x14ac:dyDescent="0.2">
      <c r="A3894">
        <v>4367.22180682217</v>
      </c>
    </row>
    <row r="3895" spans="1:1" x14ac:dyDescent="0.2">
      <c r="A3895">
        <v>11763.317964233371</v>
      </c>
    </row>
    <row r="3896" spans="1:1" x14ac:dyDescent="0.2">
      <c r="A3896">
        <v>12474.973430498008</v>
      </c>
    </row>
    <row r="3897" spans="1:1" x14ac:dyDescent="0.2">
      <c r="A3897">
        <v>-5467.8779362220666</v>
      </c>
    </row>
    <row r="3898" spans="1:1" x14ac:dyDescent="0.2">
      <c r="A3898">
        <v>-1678.5082922790898</v>
      </c>
    </row>
    <row r="3899" spans="1:1" x14ac:dyDescent="0.2">
      <c r="A3899">
        <v>-5924.2578567832243</v>
      </c>
    </row>
    <row r="3900" spans="1:1" x14ac:dyDescent="0.2">
      <c r="A3900">
        <v>-22573.286993321322</v>
      </c>
    </row>
    <row r="3901" spans="1:1" x14ac:dyDescent="0.2">
      <c r="A3901">
        <v>12799.208269599359</v>
      </c>
    </row>
    <row r="3902" spans="1:1" x14ac:dyDescent="0.2">
      <c r="A3902">
        <v>-5231.7885241332406</v>
      </c>
    </row>
    <row r="3903" spans="1:1" x14ac:dyDescent="0.2">
      <c r="A3903">
        <v>21185.27704747743</v>
      </c>
    </row>
    <row r="3904" spans="1:1" x14ac:dyDescent="0.2">
      <c r="A3904">
        <v>7390.41238902646</v>
      </c>
    </row>
    <row r="3905" spans="1:1" x14ac:dyDescent="0.2">
      <c r="A3905">
        <v>-54520.800004197226</v>
      </c>
    </row>
    <row r="3906" spans="1:1" x14ac:dyDescent="0.2">
      <c r="A3906">
        <v>13747.42561875438</v>
      </c>
    </row>
    <row r="3907" spans="1:1" x14ac:dyDescent="0.2">
      <c r="A3907">
        <v>-28197.510772248672</v>
      </c>
    </row>
    <row r="3908" spans="1:1" x14ac:dyDescent="0.2">
      <c r="A3908">
        <v>-10832.086379116983</v>
      </c>
    </row>
    <row r="3909" spans="1:1" x14ac:dyDescent="0.2">
      <c r="A3909">
        <v>-1390.6875655323965</v>
      </c>
    </row>
    <row r="3910" spans="1:1" x14ac:dyDescent="0.2">
      <c r="A3910">
        <v>-6658.7922498990665</v>
      </c>
    </row>
    <row r="3911" spans="1:1" x14ac:dyDescent="0.2">
      <c r="A3911">
        <v>-6553.597921743698</v>
      </c>
    </row>
    <row r="3912" spans="1:1" x14ac:dyDescent="0.2">
      <c r="A3912">
        <v>-7846.2965966668562</v>
      </c>
    </row>
    <row r="3913" spans="1:1" x14ac:dyDescent="0.2">
      <c r="A3913">
        <v>-6406.1542254002125</v>
      </c>
    </row>
    <row r="3914" spans="1:1" x14ac:dyDescent="0.2">
      <c r="A3914">
        <v>-4556.3318567785609</v>
      </c>
    </row>
    <row r="3915" spans="1:1" x14ac:dyDescent="0.2">
      <c r="A3915">
        <v>-16985.005392934312</v>
      </c>
    </row>
    <row r="3916" spans="1:1" x14ac:dyDescent="0.2">
      <c r="A3916">
        <v>7691.4958460862399</v>
      </c>
    </row>
    <row r="3917" spans="1:1" x14ac:dyDescent="0.2">
      <c r="A3917">
        <v>8855.7878768254013</v>
      </c>
    </row>
    <row r="3918" spans="1:1" x14ac:dyDescent="0.2">
      <c r="A3918">
        <v>-17.423670472635422</v>
      </c>
    </row>
    <row r="3919" spans="1:1" x14ac:dyDescent="0.2">
      <c r="A3919">
        <v>-15342.788653280702</v>
      </c>
    </row>
    <row r="3920" spans="1:1" x14ac:dyDescent="0.2">
      <c r="A3920">
        <v>9190.9107095766813</v>
      </c>
    </row>
    <row r="3921" spans="1:1" x14ac:dyDescent="0.2">
      <c r="A3921">
        <v>9275.9295146925142</v>
      </c>
    </row>
    <row r="3922" spans="1:1" x14ac:dyDescent="0.2">
      <c r="A3922">
        <v>19657.016133104815</v>
      </c>
    </row>
    <row r="3923" spans="1:1" x14ac:dyDescent="0.2">
      <c r="A3923">
        <v>8754.5258360852022</v>
      </c>
    </row>
    <row r="3924" spans="1:1" x14ac:dyDescent="0.2">
      <c r="A3924">
        <v>-1364.333366412553</v>
      </c>
    </row>
    <row r="3925" spans="1:1" x14ac:dyDescent="0.2">
      <c r="A3925">
        <v>11744.420727618213</v>
      </c>
    </row>
    <row r="3926" spans="1:1" x14ac:dyDescent="0.2">
      <c r="A3926">
        <v>-16481.172935009643</v>
      </c>
    </row>
    <row r="3927" spans="1:1" x14ac:dyDescent="0.2">
      <c r="A3927">
        <v>-434.99487337836763</v>
      </c>
    </row>
    <row r="3928" spans="1:1" x14ac:dyDescent="0.2">
      <c r="A3928">
        <v>-19357.400588184362</v>
      </c>
    </row>
    <row r="3929" spans="1:1" x14ac:dyDescent="0.2">
      <c r="A3929">
        <v>6479.4290784920158</v>
      </c>
    </row>
    <row r="3930" spans="1:1" x14ac:dyDescent="0.2">
      <c r="A3930">
        <v>899.29392869863659</v>
      </c>
    </row>
    <row r="3931" spans="1:1" x14ac:dyDescent="0.2">
      <c r="A3931">
        <v>12889.544517699047</v>
      </c>
    </row>
    <row r="3932" spans="1:1" x14ac:dyDescent="0.2">
      <c r="A3932">
        <v>4552.5335633117356</v>
      </c>
    </row>
    <row r="3933" spans="1:1" x14ac:dyDescent="0.2">
      <c r="A3933">
        <v>15610.649030958302</v>
      </c>
    </row>
    <row r="3934" spans="1:1" x14ac:dyDescent="0.2">
      <c r="A3934">
        <v>8029.6629277706961</v>
      </c>
    </row>
    <row r="3935" spans="1:1" x14ac:dyDescent="0.2">
      <c r="A3935">
        <v>-9214.605712999939</v>
      </c>
    </row>
    <row r="3936" spans="1:1" x14ac:dyDescent="0.2">
      <c r="A3936">
        <v>-3586.5338388450909</v>
      </c>
    </row>
    <row r="3937" spans="1:1" x14ac:dyDescent="0.2">
      <c r="A3937">
        <v>3972.9919404812681</v>
      </c>
    </row>
    <row r="3938" spans="1:1" x14ac:dyDescent="0.2">
      <c r="A3938">
        <v>-122.99649728034274</v>
      </c>
    </row>
    <row r="3939" spans="1:1" x14ac:dyDescent="0.2">
      <c r="A3939">
        <v>255.94623270223383</v>
      </c>
    </row>
    <row r="3940" spans="1:1" x14ac:dyDescent="0.2">
      <c r="A3940">
        <v>-3360.9434059199411</v>
      </c>
    </row>
    <row r="3941" spans="1:1" x14ac:dyDescent="0.2">
      <c r="A3941">
        <v>-6507.908690854616</v>
      </c>
    </row>
    <row r="3942" spans="1:1" x14ac:dyDescent="0.2">
      <c r="A3942">
        <v>2336.8436306068324</v>
      </c>
    </row>
    <row r="3943" spans="1:1" x14ac:dyDescent="0.2">
      <c r="A3943">
        <v>-6762.0891567975632</v>
      </c>
    </row>
    <row r="3944" spans="1:1" x14ac:dyDescent="0.2">
      <c r="A3944">
        <v>15230.063299183908</v>
      </c>
    </row>
    <row r="3945" spans="1:1" x14ac:dyDescent="0.2">
      <c r="A3945">
        <v>24324.852125582227</v>
      </c>
    </row>
    <row r="3946" spans="1:1" x14ac:dyDescent="0.2">
      <c r="A3946">
        <v>2435.2101623393828</v>
      </c>
    </row>
    <row r="3947" spans="1:1" x14ac:dyDescent="0.2">
      <c r="A3947">
        <v>-12213.496569340001</v>
      </c>
    </row>
    <row r="3948" spans="1:1" x14ac:dyDescent="0.2">
      <c r="A3948">
        <v>-6386.9468926538539</v>
      </c>
    </row>
    <row r="3949" spans="1:1" x14ac:dyDescent="0.2">
      <c r="A3949">
        <v>2079.3378594640235</v>
      </c>
    </row>
    <row r="3950" spans="1:1" x14ac:dyDescent="0.2">
      <c r="A3950">
        <v>7148.1300066359981</v>
      </c>
    </row>
    <row r="3951" spans="1:1" x14ac:dyDescent="0.2">
      <c r="A3951">
        <v>-18563.34358543827</v>
      </c>
    </row>
    <row r="3952" spans="1:1" x14ac:dyDescent="0.2">
      <c r="A3952">
        <v>-17546.136734176951</v>
      </c>
    </row>
    <row r="3953" spans="1:1" x14ac:dyDescent="0.2">
      <c r="A3953">
        <v>-11692.013817403407</v>
      </c>
    </row>
    <row r="3954" spans="1:1" x14ac:dyDescent="0.2">
      <c r="A3954">
        <v>-10011.61244582379</v>
      </c>
    </row>
    <row r="3955" spans="1:1" x14ac:dyDescent="0.2">
      <c r="A3955">
        <v>-10474.429947497323</v>
      </c>
    </row>
    <row r="3956" spans="1:1" x14ac:dyDescent="0.2">
      <c r="A3956">
        <v>-1587.370540953998</v>
      </c>
    </row>
    <row r="3957" spans="1:1" x14ac:dyDescent="0.2">
      <c r="A3957">
        <v>1186.467936052708</v>
      </c>
    </row>
    <row r="3958" spans="1:1" x14ac:dyDescent="0.2">
      <c r="A3958">
        <v>6081.5470820658957</v>
      </c>
    </row>
    <row r="3959" spans="1:1" x14ac:dyDescent="0.2">
      <c r="A3959">
        <v>6751.1063673204335</v>
      </c>
    </row>
    <row r="3960" spans="1:1" x14ac:dyDescent="0.2">
      <c r="A3960">
        <v>-1402.7365128622623</v>
      </c>
    </row>
    <row r="3961" spans="1:1" x14ac:dyDescent="0.2">
      <c r="A3961">
        <v>-8809.7370758581383</v>
      </c>
    </row>
    <row r="3962" spans="1:1" x14ac:dyDescent="0.2">
      <c r="A3962">
        <v>4202.6914678596368</v>
      </c>
    </row>
    <row r="3963" spans="1:1" x14ac:dyDescent="0.2">
      <c r="A3963">
        <v>10224.686418635334</v>
      </c>
    </row>
    <row r="3964" spans="1:1" x14ac:dyDescent="0.2">
      <c r="A3964">
        <v>-7636.9858544508461</v>
      </c>
    </row>
    <row r="3965" spans="1:1" x14ac:dyDescent="0.2">
      <c r="A3965">
        <v>31613.392588575545</v>
      </c>
    </row>
    <row r="3966" spans="1:1" x14ac:dyDescent="0.2">
      <c r="A3966">
        <v>-30547.62672376883</v>
      </c>
    </row>
    <row r="3967" spans="1:1" x14ac:dyDescent="0.2">
      <c r="A3967">
        <v>-7154.4357605236</v>
      </c>
    </row>
    <row r="3968" spans="1:1" x14ac:dyDescent="0.2">
      <c r="A3968">
        <v>5189.5661987300409</v>
      </c>
    </row>
    <row r="3969" spans="1:1" x14ac:dyDescent="0.2">
      <c r="A3969">
        <v>-8012.5601190001471</v>
      </c>
    </row>
    <row r="3970" spans="1:1" x14ac:dyDescent="0.2">
      <c r="A3970">
        <v>3976.112402019091</v>
      </c>
    </row>
    <row r="3971" spans="1:1" x14ac:dyDescent="0.2">
      <c r="A3971">
        <v>3352.5160808575456</v>
      </c>
    </row>
    <row r="3972" spans="1:1" x14ac:dyDescent="0.2">
      <c r="A3972">
        <v>-6961.9411408120359</v>
      </c>
    </row>
    <row r="3973" spans="1:1" x14ac:dyDescent="0.2">
      <c r="A3973">
        <v>10994.426617862715</v>
      </c>
    </row>
    <row r="3974" spans="1:1" x14ac:dyDescent="0.2">
      <c r="A3974">
        <v>-7275.2784635765129</v>
      </c>
    </row>
    <row r="3975" spans="1:1" x14ac:dyDescent="0.2">
      <c r="A3975">
        <v>2960.9712068919907</v>
      </c>
    </row>
    <row r="3976" spans="1:1" x14ac:dyDescent="0.2">
      <c r="A3976">
        <v>-9690.5134036433883</v>
      </c>
    </row>
    <row r="3977" spans="1:1" x14ac:dyDescent="0.2">
      <c r="A3977">
        <v>8662.8142060614482</v>
      </c>
    </row>
    <row r="3978" spans="1:1" x14ac:dyDescent="0.2">
      <c r="A3978">
        <v>4792.5248260377557</v>
      </c>
    </row>
    <row r="3979" spans="1:1" x14ac:dyDescent="0.2">
      <c r="A3979">
        <v>-4203.5722626310308</v>
      </c>
    </row>
    <row r="3980" spans="1:1" x14ac:dyDescent="0.2">
      <c r="A3980">
        <v>4458.458624710649</v>
      </c>
    </row>
    <row r="3981" spans="1:1" x14ac:dyDescent="0.2">
      <c r="A3981">
        <v>3252.7152523594559</v>
      </c>
    </row>
    <row r="3982" spans="1:1" x14ac:dyDescent="0.2">
      <c r="A3982">
        <v>-5940.3051674407616</v>
      </c>
    </row>
    <row r="3983" spans="1:1" x14ac:dyDescent="0.2">
      <c r="A3983">
        <v>11433.762847612117</v>
      </c>
    </row>
    <row r="3984" spans="1:1" x14ac:dyDescent="0.2">
      <c r="A3984">
        <v>-10249.9330815305</v>
      </c>
    </row>
    <row r="3985" spans="1:1" x14ac:dyDescent="0.2">
      <c r="A3985">
        <v>9764.4041914900881</v>
      </c>
    </row>
    <row r="3986" spans="1:1" x14ac:dyDescent="0.2">
      <c r="A3986">
        <v>5973.3751817740267</v>
      </c>
    </row>
    <row r="3987" spans="1:1" x14ac:dyDescent="0.2">
      <c r="A3987">
        <v>-10880.726094857382</v>
      </c>
    </row>
    <row r="3988" spans="1:1" x14ac:dyDescent="0.2">
      <c r="A3988">
        <v>16479.537404353905</v>
      </c>
    </row>
    <row r="3989" spans="1:1" x14ac:dyDescent="0.2">
      <c r="A3989">
        <v>1041.7542236487207</v>
      </c>
    </row>
    <row r="3990" spans="1:1" x14ac:dyDescent="0.2">
      <c r="A3990">
        <v>-4239.2555514561536</v>
      </c>
    </row>
    <row r="3991" spans="1:1" x14ac:dyDescent="0.2">
      <c r="A3991">
        <v>5337.3899432105536</v>
      </c>
    </row>
    <row r="3992" spans="1:1" x14ac:dyDescent="0.2">
      <c r="A3992">
        <v>4570.3813749410328</v>
      </c>
    </row>
    <row r="3993" spans="1:1" x14ac:dyDescent="0.2">
      <c r="A3993">
        <v>-1588.3654925297596</v>
      </c>
    </row>
    <row r="3994" spans="1:1" x14ac:dyDescent="0.2">
      <c r="A3994">
        <v>27449.999739795458</v>
      </c>
    </row>
    <row r="3995" spans="1:1" x14ac:dyDescent="0.2">
      <c r="A3995">
        <v>6320.179891231237</v>
      </c>
    </row>
    <row r="3996" spans="1:1" x14ac:dyDescent="0.2">
      <c r="A3996">
        <v>903.54053012572695</v>
      </c>
    </row>
    <row r="3997" spans="1:1" x14ac:dyDescent="0.2">
      <c r="A3997">
        <v>7405.9965885977726</v>
      </c>
    </row>
    <row r="3998" spans="1:1" x14ac:dyDescent="0.2">
      <c r="A3998">
        <v>2878.3318316014484</v>
      </c>
    </row>
    <row r="3999" spans="1:1" x14ac:dyDescent="0.2">
      <c r="A3999">
        <v>8549.8900833676744</v>
      </c>
    </row>
    <row r="4000" spans="1:1" x14ac:dyDescent="0.2">
      <c r="A4000">
        <v>-26261.467209041934</v>
      </c>
    </row>
    <row r="4001" spans="1:1" x14ac:dyDescent="0.2">
      <c r="A4001">
        <v>2849.4180160204414</v>
      </c>
    </row>
    <row r="4002" spans="1:1" x14ac:dyDescent="0.2">
      <c r="A4002">
        <v>10290.787944267591</v>
      </c>
    </row>
    <row r="4003" spans="1:1" x14ac:dyDescent="0.2">
      <c r="A4003">
        <v>-1799.1630412390223</v>
      </c>
    </row>
    <row r="4004" spans="1:1" x14ac:dyDescent="0.2">
      <c r="A4004">
        <v>-514.58903769095195</v>
      </c>
    </row>
    <row r="4005" spans="1:1" x14ac:dyDescent="0.2">
      <c r="A4005">
        <v>-10007.018280909484</v>
      </c>
    </row>
    <row r="4006" spans="1:1" x14ac:dyDescent="0.2">
      <c r="A4006">
        <v>202.09266140911495</v>
      </c>
    </row>
    <row r="4007" spans="1:1" x14ac:dyDescent="0.2">
      <c r="A4007">
        <v>-8197.0485416105366</v>
      </c>
    </row>
    <row r="4008" spans="1:1" x14ac:dyDescent="0.2">
      <c r="A4008">
        <v>17414.810555687291</v>
      </c>
    </row>
    <row r="4009" spans="1:1" x14ac:dyDescent="0.2">
      <c r="A4009">
        <v>12952.854425113415</v>
      </c>
    </row>
    <row r="4010" spans="1:1" x14ac:dyDescent="0.2">
      <c r="A4010">
        <v>7891.7358160728763</v>
      </c>
    </row>
    <row r="4011" spans="1:1" x14ac:dyDescent="0.2">
      <c r="A4011">
        <v>1835.6391523781931</v>
      </c>
    </row>
    <row r="4012" spans="1:1" x14ac:dyDescent="0.2">
      <c r="A4012">
        <v>-12822.310417003173</v>
      </c>
    </row>
    <row r="4013" spans="1:1" x14ac:dyDescent="0.2">
      <c r="A4013">
        <v>6744.9877434647933</v>
      </c>
    </row>
    <row r="4014" spans="1:1" x14ac:dyDescent="0.2">
      <c r="A4014">
        <v>16727.105137032369</v>
      </c>
    </row>
    <row r="4015" spans="1:1" x14ac:dyDescent="0.2">
      <c r="A4015">
        <v>1075.6440308025922</v>
      </c>
    </row>
    <row r="4016" spans="1:1" x14ac:dyDescent="0.2">
      <c r="A4016">
        <v>-15424.489209419989</v>
      </c>
    </row>
    <row r="4017" spans="1:1" x14ac:dyDescent="0.2">
      <c r="A4017">
        <v>17836.86477723447</v>
      </c>
    </row>
    <row r="4018" spans="1:1" x14ac:dyDescent="0.2">
      <c r="A4018">
        <v>13338.18968713301</v>
      </c>
    </row>
    <row r="4019" spans="1:1" x14ac:dyDescent="0.2">
      <c r="A4019">
        <v>-6377.6912833078532</v>
      </c>
    </row>
    <row r="4020" spans="1:1" x14ac:dyDescent="0.2">
      <c r="A4020">
        <v>9818.9505015074974</v>
      </c>
    </row>
    <row r="4021" spans="1:1" x14ac:dyDescent="0.2">
      <c r="A4021">
        <v>11291.903023700404</v>
      </c>
    </row>
    <row r="4022" spans="1:1" x14ac:dyDescent="0.2">
      <c r="A4022">
        <v>-14664.504503454838</v>
      </c>
    </row>
    <row r="4023" spans="1:1" x14ac:dyDescent="0.2">
      <c r="A4023">
        <v>-2091.558559521538</v>
      </c>
    </row>
    <row r="4024" spans="1:1" x14ac:dyDescent="0.2">
      <c r="A4024">
        <v>624.24219849100336</v>
      </c>
    </row>
    <row r="4025" spans="1:1" x14ac:dyDescent="0.2">
      <c r="A4025">
        <v>8634.0442149983719</v>
      </c>
    </row>
    <row r="4026" spans="1:1" x14ac:dyDescent="0.2">
      <c r="A4026">
        <v>17664.440462951316</v>
      </c>
    </row>
    <row r="4027" spans="1:1" x14ac:dyDescent="0.2">
      <c r="A4027">
        <v>3331.0691490409372</v>
      </c>
    </row>
    <row r="4028" spans="1:1" x14ac:dyDescent="0.2">
      <c r="A4028">
        <v>4443.6104575594654</v>
      </c>
    </row>
    <row r="4029" spans="1:1" x14ac:dyDescent="0.2">
      <c r="A4029">
        <v>-3916.6280168566445</v>
      </c>
    </row>
    <row r="4030" spans="1:1" x14ac:dyDescent="0.2">
      <c r="A4030">
        <v>4379.4849385491689</v>
      </c>
    </row>
    <row r="4031" spans="1:1" x14ac:dyDescent="0.2">
      <c r="A4031">
        <v>15735.675422357221</v>
      </c>
    </row>
    <row r="4032" spans="1:1" x14ac:dyDescent="0.2">
      <c r="A4032">
        <v>12590.470812001644</v>
      </c>
    </row>
    <row r="4033" spans="1:1" x14ac:dyDescent="0.2">
      <c r="A4033">
        <v>1585.189759565983</v>
      </c>
    </row>
    <row r="4034" spans="1:1" x14ac:dyDescent="0.2">
      <c r="A4034">
        <v>8934.8589326894726</v>
      </c>
    </row>
    <row r="4035" spans="1:1" x14ac:dyDescent="0.2">
      <c r="A4035">
        <v>1507.4781785427185</v>
      </c>
    </row>
    <row r="4036" spans="1:1" x14ac:dyDescent="0.2">
      <c r="A4036">
        <v>5381.7603672567639</v>
      </c>
    </row>
    <row r="4037" spans="1:1" x14ac:dyDescent="0.2">
      <c r="A4037">
        <v>-27646.338287898747</v>
      </c>
    </row>
    <row r="4038" spans="1:1" x14ac:dyDescent="0.2">
      <c r="A4038">
        <v>-2846.9214276729908</v>
      </c>
    </row>
    <row r="4039" spans="1:1" x14ac:dyDescent="0.2">
      <c r="A4039">
        <v>10146.03851687914</v>
      </c>
    </row>
    <row r="4040" spans="1:1" x14ac:dyDescent="0.2">
      <c r="A4040">
        <v>21381.038779392722</v>
      </c>
    </row>
    <row r="4041" spans="1:1" x14ac:dyDescent="0.2">
      <c r="A4041">
        <v>13076.67873536206</v>
      </c>
    </row>
    <row r="4042" spans="1:1" x14ac:dyDescent="0.2">
      <c r="A4042">
        <v>-4826.8310225717432</v>
      </c>
    </row>
    <row r="4043" spans="1:1" x14ac:dyDescent="0.2">
      <c r="A4043">
        <v>-8928.8384165730095</v>
      </c>
    </row>
    <row r="4044" spans="1:1" x14ac:dyDescent="0.2">
      <c r="A4044">
        <v>-676.93433401631773</v>
      </c>
    </row>
    <row r="4045" spans="1:1" x14ac:dyDescent="0.2">
      <c r="A4045">
        <v>11469.513372086483</v>
      </c>
    </row>
    <row r="4046" spans="1:1" x14ac:dyDescent="0.2">
      <c r="A4046">
        <v>6351.0073511325754</v>
      </c>
    </row>
    <row r="4047" spans="1:1" x14ac:dyDescent="0.2">
      <c r="A4047">
        <v>10779.602101927943</v>
      </c>
    </row>
    <row r="4048" spans="1:1" x14ac:dyDescent="0.2">
      <c r="A4048">
        <v>7662.3171582017676</v>
      </c>
    </row>
    <row r="4049" spans="1:1" x14ac:dyDescent="0.2">
      <c r="A4049">
        <v>-10774.993173392315</v>
      </c>
    </row>
    <row r="4050" spans="1:1" x14ac:dyDescent="0.2">
      <c r="A4050">
        <v>-10630.330731616239</v>
      </c>
    </row>
    <row r="4051" spans="1:1" x14ac:dyDescent="0.2">
      <c r="A4051">
        <v>14991.918738485489</v>
      </c>
    </row>
    <row r="4052" spans="1:1" x14ac:dyDescent="0.2">
      <c r="A4052">
        <v>975.4920455836691</v>
      </c>
    </row>
    <row r="4053" spans="1:1" x14ac:dyDescent="0.2">
      <c r="A4053">
        <v>-4041.9919967527385</v>
      </c>
    </row>
    <row r="4054" spans="1:1" x14ac:dyDescent="0.2">
      <c r="A4054">
        <v>2634.0307892912533</v>
      </c>
    </row>
    <row r="4055" spans="1:1" x14ac:dyDescent="0.2">
      <c r="A4055">
        <v>-4274.8111734131235</v>
      </c>
    </row>
    <row r="4056" spans="1:1" x14ac:dyDescent="0.2">
      <c r="A4056">
        <v>5368.8733511308674</v>
      </c>
    </row>
    <row r="4057" spans="1:1" x14ac:dyDescent="0.2">
      <c r="A4057">
        <v>6635.0930241840833</v>
      </c>
    </row>
    <row r="4058" spans="1:1" x14ac:dyDescent="0.2">
      <c r="A4058">
        <v>16665.752112117945</v>
      </c>
    </row>
    <row r="4059" spans="1:1" x14ac:dyDescent="0.2">
      <c r="A4059">
        <v>-3520.7158122086257</v>
      </c>
    </row>
    <row r="4060" spans="1:1" x14ac:dyDescent="0.2">
      <c r="A4060">
        <v>5822.9977888825233</v>
      </c>
    </row>
    <row r="4061" spans="1:1" x14ac:dyDescent="0.2">
      <c r="A4061">
        <v>2607.7857952656341</v>
      </c>
    </row>
    <row r="4062" spans="1:1" x14ac:dyDescent="0.2">
      <c r="A4062">
        <v>3944.0382225924695</v>
      </c>
    </row>
    <row r="4063" spans="1:1" x14ac:dyDescent="0.2">
      <c r="A4063">
        <v>-7743.2243441368337</v>
      </c>
    </row>
    <row r="4064" spans="1:1" x14ac:dyDescent="0.2">
      <c r="A4064">
        <v>13462.245452936564</v>
      </c>
    </row>
    <row r="4065" spans="1:1" x14ac:dyDescent="0.2">
      <c r="A4065">
        <v>-3777.7327499195817</v>
      </c>
    </row>
    <row r="4066" spans="1:1" x14ac:dyDescent="0.2">
      <c r="A4066">
        <v>7899.993261853233</v>
      </c>
    </row>
    <row r="4067" spans="1:1" x14ac:dyDescent="0.2">
      <c r="A4067">
        <v>7318.9555951860093</v>
      </c>
    </row>
    <row r="4068" spans="1:1" x14ac:dyDescent="0.2">
      <c r="A4068">
        <v>24914.858214926528</v>
      </c>
    </row>
    <row r="4069" spans="1:1" x14ac:dyDescent="0.2">
      <c r="A4069">
        <v>-503.16789233850432</v>
      </c>
    </row>
    <row r="4070" spans="1:1" x14ac:dyDescent="0.2">
      <c r="A4070">
        <v>6228.7102072158013</v>
      </c>
    </row>
    <row r="4071" spans="1:1" x14ac:dyDescent="0.2">
      <c r="A4071">
        <v>9084.6475807914685</v>
      </c>
    </row>
    <row r="4072" spans="1:1" x14ac:dyDescent="0.2">
      <c r="A4072">
        <v>1668.0345874642371</v>
      </c>
    </row>
    <row r="4073" spans="1:1" x14ac:dyDescent="0.2">
      <c r="A4073">
        <v>3570.1016737607133</v>
      </c>
    </row>
    <row r="4074" spans="1:1" x14ac:dyDescent="0.2">
      <c r="A4074">
        <v>4508.7759040349047</v>
      </c>
    </row>
    <row r="4075" spans="1:1" x14ac:dyDescent="0.2">
      <c r="A4075">
        <v>8576.0960707237537</v>
      </c>
    </row>
    <row r="4076" spans="1:1" x14ac:dyDescent="0.2">
      <c r="A4076">
        <v>1145.0763349150075</v>
      </c>
    </row>
    <row r="4077" spans="1:1" x14ac:dyDescent="0.2">
      <c r="A4077">
        <v>-8179.7306923124997</v>
      </c>
    </row>
    <row r="4078" spans="1:1" x14ac:dyDescent="0.2">
      <c r="A4078">
        <v>1862.0282803655136</v>
      </c>
    </row>
    <row r="4079" spans="1:1" x14ac:dyDescent="0.2">
      <c r="A4079">
        <v>1241.0324107868073</v>
      </c>
    </row>
    <row r="4080" spans="1:1" x14ac:dyDescent="0.2">
      <c r="A4080">
        <v>13530.343829557387</v>
      </c>
    </row>
    <row r="4081" spans="1:1" x14ac:dyDescent="0.2">
      <c r="A4081">
        <v>-16653.302643972333</v>
      </c>
    </row>
    <row r="4082" spans="1:1" x14ac:dyDescent="0.2">
      <c r="A4082">
        <v>10631.383264568343</v>
      </c>
    </row>
    <row r="4083" spans="1:1" x14ac:dyDescent="0.2">
      <c r="A4083">
        <v>18033.8544942023</v>
      </c>
    </row>
    <row r="4084" spans="1:1" x14ac:dyDescent="0.2">
      <c r="A4084">
        <v>-6368.6274183312198</v>
      </c>
    </row>
    <row r="4085" spans="1:1" x14ac:dyDescent="0.2">
      <c r="A4085">
        <v>1466.7285588935192</v>
      </c>
    </row>
    <row r="4086" spans="1:1" x14ac:dyDescent="0.2">
      <c r="A4086">
        <v>7605.0532607479836</v>
      </c>
    </row>
    <row r="4087" spans="1:1" x14ac:dyDescent="0.2">
      <c r="A4087">
        <v>5866.518041316478</v>
      </c>
    </row>
    <row r="4088" spans="1:1" x14ac:dyDescent="0.2">
      <c r="A4088">
        <v>-12416.983546114527</v>
      </c>
    </row>
    <row r="4089" spans="1:1" x14ac:dyDescent="0.2">
      <c r="A4089">
        <v>-17458.22660961248</v>
      </c>
    </row>
    <row r="4090" spans="1:1" x14ac:dyDescent="0.2">
      <c r="A4090">
        <v>6057.7975657308416</v>
      </c>
    </row>
    <row r="4091" spans="1:1" x14ac:dyDescent="0.2">
      <c r="A4091">
        <v>801.27284527139273</v>
      </c>
    </row>
    <row r="4092" spans="1:1" x14ac:dyDescent="0.2">
      <c r="A4092">
        <v>8333.6409637638135</v>
      </c>
    </row>
    <row r="4093" spans="1:1" x14ac:dyDescent="0.2">
      <c r="A4093">
        <v>-17641.575202053995</v>
      </c>
    </row>
    <row r="4094" spans="1:1" x14ac:dyDescent="0.2">
      <c r="A4094">
        <v>21363.05913851691</v>
      </c>
    </row>
    <row r="4095" spans="1:1" x14ac:dyDescent="0.2">
      <c r="A4095">
        <v>7444.1849523579585</v>
      </c>
    </row>
    <row r="4096" spans="1:1" x14ac:dyDescent="0.2">
      <c r="A4096">
        <v>-28119.804050972976</v>
      </c>
    </row>
    <row r="4097" spans="1:1" x14ac:dyDescent="0.2">
      <c r="A4097">
        <v>829.45765508123441</v>
      </c>
    </row>
    <row r="4098" spans="1:1" x14ac:dyDescent="0.2">
      <c r="A4098">
        <v>9054.8416051852691</v>
      </c>
    </row>
    <row r="4099" spans="1:1" x14ac:dyDescent="0.2">
      <c r="A4099">
        <v>20674.898349870753</v>
      </c>
    </row>
    <row r="4100" spans="1:1" x14ac:dyDescent="0.2">
      <c r="A4100">
        <v>10075.656639653695</v>
      </c>
    </row>
    <row r="4101" spans="1:1" x14ac:dyDescent="0.2">
      <c r="A4101">
        <v>1056.7128079439863</v>
      </c>
    </row>
    <row r="4102" spans="1:1" x14ac:dyDescent="0.2">
      <c r="A4102">
        <v>843.8283200704318</v>
      </c>
    </row>
    <row r="4103" spans="1:1" x14ac:dyDescent="0.2">
      <c r="A4103">
        <v>4134.9388883848442</v>
      </c>
    </row>
    <row r="4104" spans="1:1" x14ac:dyDescent="0.2">
      <c r="A4104">
        <v>14377.063879047375</v>
      </c>
    </row>
    <row r="4105" spans="1:1" x14ac:dyDescent="0.2">
      <c r="A4105">
        <v>-8123.296904710558</v>
      </c>
    </row>
    <row r="4106" spans="1:1" x14ac:dyDescent="0.2">
      <c r="A4106">
        <v>7931.1530351722031</v>
      </c>
    </row>
    <row r="4107" spans="1:1" x14ac:dyDescent="0.2">
      <c r="A4107">
        <v>-3608.1650385253306</v>
      </c>
    </row>
    <row r="4108" spans="1:1" x14ac:dyDescent="0.2">
      <c r="A4108">
        <v>-16564.874076016538</v>
      </c>
    </row>
    <row r="4109" spans="1:1" x14ac:dyDescent="0.2">
      <c r="A4109">
        <v>6378.9539280957833</v>
      </c>
    </row>
    <row r="4110" spans="1:1" x14ac:dyDescent="0.2">
      <c r="A4110">
        <v>3837.3824489729595</v>
      </c>
    </row>
    <row r="4111" spans="1:1" x14ac:dyDescent="0.2">
      <c r="A4111">
        <v>5253.2900971750496</v>
      </c>
    </row>
    <row r="4112" spans="1:1" x14ac:dyDescent="0.2">
      <c r="A4112">
        <v>10194.135116683494</v>
      </c>
    </row>
    <row r="4113" spans="1:1" x14ac:dyDescent="0.2">
      <c r="A4113">
        <v>30453.559157906042</v>
      </c>
    </row>
    <row r="4114" spans="1:1" x14ac:dyDescent="0.2">
      <c r="A4114">
        <v>166.67854160585557</v>
      </c>
    </row>
    <row r="4115" spans="1:1" x14ac:dyDescent="0.2">
      <c r="A4115">
        <v>-1696.4442544250633</v>
      </c>
    </row>
    <row r="4116" spans="1:1" x14ac:dyDescent="0.2">
      <c r="A4116">
        <v>-12141.282461328432</v>
      </c>
    </row>
    <row r="4117" spans="1:1" x14ac:dyDescent="0.2">
      <c r="A4117">
        <v>-3464.6651270344155</v>
      </c>
    </row>
    <row r="4118" spans="1:1" x14ac:dyDescent="0.2">
      <c r="A4118">
        <v>13873.557828936726</v>
      </c>
    </row>
    <row r="4119" spans="1:1" x14ac:dyDescent="0.2">
      <c r="A4119">
        <v>-32.771424926642794</v>
      </c>
    </row>
    <row r="4120" spans="1:1" x14ac:dyDescent="0.2">
      <c r="A4120">
        <v>-10268.603777382523</v>
      </c>
    </row>
    <row r="4121" spans="1:1" x14ac:dyDescent="0.2">
      <c r="A4121">
        <v>5561.1197220770409</v>
      </c>
    </row>
    <row r="4122" spans="1:1" x14ac:dyDescent="0.2">
      <c r="A4122">
        <v>15112.171427315421</v>
      </c>
    </row>
    <row r="4123" spans="1:1" x14ac:dyDescent="0.2">
      <c r="A4123">
        <v>-6620.8321981749905</v>
      </c>
    </row>
    <row r="4124" spans="1:1" x14ac:dyDescent="0.2">
      <c r="A4124">
        <v>5438.278511167242</v>
      </c>
    </row>
    <row r="4125" spans="1:1" x14ac:dyDescent="0.2">
      <c r="A4125">
        <v>4146.048227492458</v>
      </c>
    </row>
    <row r="4126" spans="1:1" x14ac:dyDescent="0.2">
      <c r="A4126">
        <v>-6629.6685873446404</v>
      </c>
    </row>
    <row r="4127" spans="1:1" x14ac:dyDescent="0.2">
      <c r="A4127">
        <v>-7630.1344327611732</v>
      </c>
    </row>
    <row r="4128" spans="1:1" x14ac:dyDescent="0.2">
      <c r="A4128">
        <v>10110.372440365434</v>
      </c>
    </row>
    <row r="4129" spans="1:1" x14ac:dyDescent="0.2">
      <c r="A4129">
        <v>-2345.3285964013776</v>
      </c>
    </row>
    <row r="4130" spans="1:1" x14ac:dyDescent="0.2">
      <c r="A4130">
        <v>7281.2903032117174</v>
      </c>
    </row>
    <row r="4131" spans="1:1" x14ac:dyDescent="0.2">
      <c r="A4131">
        <v>8626.2375255644147</v>
      </c>
    </row>
    <row r="4132" spans="1:1" x14ac:dyDescent="0.2">
      <c r="A4132">
        <v>7163.890481820039</v>
      </c>
    </row>
    <row r="4133" spans="1:1" x14ac:dyDescent="0.2">
      <c r="A4133">
        <v>7229.7231187058496</v>
      </c>
    </row>
    <row r="4134" spans="1:1" x14ac:dyDescent="0.2">
      <c r="A4134">
        <v>7226.7822358548292</v>
      </c>
    </row>
    <row r="4135" spans="1:1" x14ac:dyDescent="0.2">
      <c r="A4135">
        <v>15980.719344125304</v>
      </c>
    </row>
    <row r="4136" spans="1:1" x14ac:dyDescent="0.2">
      <c r="A4136">
        <v>4582.2596732635866</v>
      </c>
    </row>
    <row r="4137" spans="1:1" x14ac:dyDescent="0.2">
      <c r="A4137">
        <v>-9978.9724087199138</v>
      </c>
    </row>
    <row r="4138" spans="1:1" x14ac:dyDescent="0.2">
      <c r="A4138">
        <v>1040.6203256345761</v>
      </c>
    </row>
    <row r="4139" spans="1:1" x14ac:dyDescent="0.2">
      <c r="A4139">
        <v>-10924.204447443859</v>
      </c>
    </row>
    <row r="4140" spans="1:1" x14ac:dyDescent="0.2">
      <c r="A4140">
        <v>-9919.8867700159317</v>
      </c>
    </row>
    <row r="4141" spans="1:1" x14ac:dyDescent="0.2">
      <c r="A4141">
        <v>-6502.2080810323241</v>
      </c>
    </row>
    <row r="4142" spans="1:1" x14ac:dyDescent="0.2">
      <c r="A4142">
        <v>9571.772368974518</v>
      </c>
    </row>
    <row r="4143" spans="1:1" x14ac:dyDescent="0.2">
      <c r="A4143">
        <v>15100.993626188749</v>
      </c>
    </row>
    <row r="4144" spans="1:1" x14ac:dyDescent="0.2">
      <c r="A4144">
        <v>10244.924715162197</v>
      </c>
    </row>
    <row r="4145" spans="1:1" x14ac:dyDescent="0.2">
      <c r="A4145">
        <v>1854.8498144254845</v>
      </c>
    </row>
    <row r="4146" spans="1:1" x14ac:dyDescent="0.2">
      <c r="A4146">
        <v>6989.3233333919197</v>
      </c>
    </row>
    <row r="4147" spans="1:1" x14ac:dyDescent="0.2">
      <c r="A4147">
        <v>10586.273748918582</v>
      </c>
    </row>
    <row r="4148" spans="1:1" x14ac:dyDescent="0.2">
      <c r="A4148">
        <v>-3041.6420504444395</v>
      </c>
    </row>
    <row r="4149" spans="1:1" x14ac:dyDescent="0.2">
      <c r="A4149">
        <v>-15937.45437225647</v>
      </c>
    </row>
    <row r="4150" spans="1:1" x14ac:dyDescent="0.2">
      <c r="A4150">
        <v>3599.3736654787499</v>
      </c>
    </row>
    <row r="4151" spans="1:1" x14ac:dyDescent="0.2">
      <c r="A4151">
        <v>4278.2580178385251</v>
      </c>
    </row>
    <row r="4152" spans="1:1" x14ac:dyDescent="0.2">
      <c r="A4152">
        <v>8523.0596743107308</v>
      </c>
    </row>
    <row r="4153" spans="1:1" x14ac:dyDescent="0.2">
      <c r="A4153">
        <v>5176.0496798990353</v>
      </c>
    </row>
    <row r="4154" spans="1:1" x14ac:dyDescent="0.2">
      <c r="A4154">
        <v>2212.9623337879893</v>
      </c>
    </row>
    <row r="4155" spans="1:1" x14ac:dyDescent="0.2">
      <c r="A4155">
        <v>-3557.0217579283635</v>
      </c>
    </row>
    <row r="4156" spans="1:1" x14ac:dyDescent="0.2">
      <c r="A4156">
        <v>-3556.4716753193061</v>
      </c>
    </row>
    <row r="4157" spans="1:1" x14ac:dyDescent="0.2">
      <c r="A4157">
        <v>3295.6680054675671</v>
      </c>
    </row>
    <row r="4158" spans="1:1" x14ac:dyDescent="0.2">
      <c r="A4158">
        <v>954.62450774217723</v>
      </c>
    </row>
    <row r="4159" spans="1:1" x14ac:dyDescent="0.2">
      <c r="A4159">
        <v>4402.4782711216249</v>
      </c>
    </row>
    <row r="4160" spans="1:1" x14ac:dyDescent="0.2">
      <c r="A4160">
        <v>-4998.2183298664168</v>
      </c>
    </row>
    <row r="4161" spans="1:1" x14ac:dyDescent="0.2">
      <c r="A4161">
        <v>-18271.879509269929</v>
      </c>
    </row>
    <row r="4162" spans="1:1" x14ac:dyDescent="0.2">
      <c r="A4162">
        <v>-5591.8138042122882</v>
      </c>
    </row>
    <row r="4163" spans="1:1" x14ac:dyDescent="0.2">
      <c r="A4163">
        <v>-5141.1522854546201</v>
      </c>
    </row>
    <row r="4164" spans="1:1" x14ac:dyDescent="0.2">
      <c r="A4164">
        <v>-1694.8807181544835</v>
      </c>
    </row>
    <row r="4165" spans="1:1" x14ac:dyDescent="0.2">
      <c r="A4165">
        <v>2577.4696870364132</v>
      </c>
    </row>
    <row r="4166" spans="1:1" x14ac:dyDescent="0.2">
      <c r="A4166">
        <v>-2787.8782641239522</v>
      </c>
    </row>
    <row r="4167" spans="1:1" x14ac:dyDescent="0.2">
      <c r="A4167">
        <v>11886.927377597371</v>
      </c>
    </row>
    <row r="4168" spans="1:1" x14ac:dyDescent="0.2">
      <c r="A4168">
        <v>-9197.3927089433419</v>
      </c>
    </row>
    <row r="4169" spans="1:1" x14ac:dyDescent="0.2">
      <c r="A4169">
        <v>-8700.3407512679114</v>
      </c>
    </row>
    <row r="4170" spans="1:1" x14ac:dyDescent="0.2">
      <c r="A4170">
        <v>10045.721811756492</v>
      </c>
    </row>
    <row r="4171" spans="1:1" x14ac:dyDescent="0.2">
      <c r="A4171">
        <v>1373.0484626586258</v>
      </c>
    </row>
    <row r="4172" spans="1:1" x14ac:dyDescent="0.2">
      <c r="A4172">
        <v>-10608.084571090731</v>
      </c>
    </row>
    <row r="4173" spans="1:1" x14ac:dyDescent="0.2">
      <c r="A4173">
        <v>8247.9249632620485</v>
      </c>
    </row>
    <row r="4174" spans="1:1" x14ac:dyDescent="0.2">
      <c r="A4174">
        <v>7638.2025493515539</v>
      </c>
    </row>
    <row r="4175" spans="1:1" x14ac:dyDescent="0.2">
      <c r="A4175">
        <v>-10607.085130392225</v>
      </c>
    </row>
    <row r="4176" spans="1:1" x14ac:dyDescent="0.2">
      <c r="A4176">
        <v>2263.6968193161592</v>
      </c>
    </row>
    <row r="4177" spans="1:1" x14ac:dyDescent="0.2">
      <c r="A4177">
        <v>12848.253750695003</v>
      </c>
    </row>
    <row r="4178" spans="1:1" x14ac:dyDescent="0.2">
      <c r="A4178">
        <v>484.22285806757282</v>
      </c>
    </row>
    <row r="4179" spans="1:1" x14ac:dyDescent="0.2">
      <c r="A4179">
        <v>6119.2981811965292</v>
      </c>
    </row>
    <row r="4180" spans="1:1" x14ac:dyDescent="0.2">
      <c r="A4180">
        <v>9275.7597301757778</v>
      </c>
    </row>
    <row r="4181" spans="1:1" x14ac:dyDescent="0.2">
      <c r="A4181">
        <v>-1251.6688843120064</v>
      </c>
    </row>
    <row r="4182" spans="1:1" x14ac:dyDescent="0.2">
      <c r="A4182">
        <v>1883.9726940919063</v>
      </c>
    </row>
    <row r="4183" spans="1:1" x14ac:dyDescent="0.2">
      <c r="A4183">
        <v>-3768.0777267398371</v>
      </c>
    </row>
    <row r="4184" spans="1:1" x14ac:dyDescent="0.2">
      <c r="A4184">
        <v>15536.690880990005</v>
      </c>
    </row>
    <row r="4185" spans="1:1" x14ac:dyDescent="0.2">
      <c r="A4185">
        <v>-748.34735928039299</v>
      </c>
    </row>
    <row r="4186" spans="1:1" x14ac:dyDescent="0.2">
      <c r="A4186">
        <v>10885.063575036911</v>
      </c>
    </row>
    <row r="4187" spans="1:1" x14ac:dyDescent="0.2">
      <c r="A4187">
        <v>-182.35593283679918</v>
      </c>
    </row>
    <row r="4188" spans="1:1" x14ac:dyDescent="0.2">
      <c r="A4188">
        <v>14776.018122846173</v>
      </c>
    </row>
    <row r="4189" spans="1:1" x14ac:dyDescent="0.2">
      <c r="A4189">
        <v>8261.522320266522</v>
      </c>
    </row>
    <row r="4190" spans="1:1" x14ac:dyDescent="0.2">
      <c r="A4190">
        <v>16334.282284544082</v>
      </c>
    </row>
    <row r="4191" spans="1:1" x14ac:dyDescent="0.2">
      <c r="A4191">
        <v>11316.39840358845</v>
      </c>
    </row>
    <row r="4192" spans="1:1" x14ac:dyDescent="0.2">
      <c r="A4192">
        <v>-6731.0353091629804</v>
      </c>
    </row>
    <row r="4193" spans="1:1" x14ac:dyDescent="0.2">
      <c r="A4193">
        <v>2027.0769745045691</v>
      </c>
    </row>
    <row r="4194" spans="1:1" x14ac:dyDescent="0.2">
      <c r="A4194">
        <v>7400.4072051289841</v>
      </c>
    </row>
    <row r="4195" spans="1:1" x14ac:dyDescent="0.2">
      <c r="A4195">
        <v>3626.6514568100683</v>
      </c>
    </row>
    <row r="4196" spans="1:1" x14ac:dyDescent="0.2">
      <c r="A4196">
        <v>7215.1881867638731</v>
      </c>
    </row>
    <row r="4197" spans="1:1" x14ac:dyDescent="0.2">
      <c r="A4197">
        <v>-27452.034616441058</v>
      </c>
    </row>
    <row r="4198" spans="1:1" x14ac:dyDescent="0.2">
      <c r="A4198">
        <v>9174.811430796457</v>
      </c>
    </row>
    <row r="4199" spans="1:1" x14ac:dyDescent="0.2">
      <c r="A4199">
        <v>5538.609953243169</v>
      </c>
    </row>
    <row r="4200" spans="1:1" x14ac:dyDescent="0.2">
      <c r="A4200">
        <v>19199.318681975361</v>
      </c>
    </row>
    <row r="4201" spans="1:1" x14ac:dyDescent="0.2">
      <c r="A4201">
        <v>7374.9354127378901</v>
      </c>
    </row>
    <row r="4202" spans="1:1" x14ac:dyDescent="0.2">
      <c r="A4202">
        <v>-1443.8845890081429</v>
      </c>
    </row>
    <row r="4203" spans="1:1" x14ac:dyDescent="0.2">
      <c r="A4203">
        <v>2400.9917041261506</v>
      </c>
    </row>
    <row r="4204" spans="1:1" x14ac:dyDescent="0.2">
      <c r="A4204">
        <v>3900.1120114582009</v>
      </c>
    </row>
    <row r="4205" spans="1:1" x14ac:dyDescent="0.2">
      <c r="A4205">
        <v>12134.275566551805</v>
      </c>
    </row>
    <row r="4206" spans="1:1" x14ac:dyDescent="0.2">
      <c r="A4206">
        <v>-6132.2481140138698</v>
      </c>
    </row>
    <row r="4207" spans="1:1" x14ac:dyDescent="0.2">
      <c r="A4207">
        <v>-29524.875601606094</v>
      </c>
    </row>
    <row r="4208" spans="1:1" x14ac:dyDescent="0.2">
      <c r="A4208">
        <v>-8144.4458647483989</v>
      </c>
    </row>
    <row r="4209" spans="1:1" x14ac:dyDescent="0.2">
      <c r="A4209">
        <v>7865.7497770601767</v>
      </c>
    </row>
    <row r="4210" spans="1:1" x14ac:dyDescent="0.2">
      <c r="A4210">
        <v>-4900.1035331247258</v>
      </c>
    </row>
    <row r="4211" spans="1:1" x14ac:dyDescent="0.2">
      <c r="A4211">
        <v>-7435.7421052483842</v>
      </c>
    </row>
    <row r="4212" spans="1:1" x14ac:dyDescent="0.2">
      <c r="A4212">
        <v>13785.286691918271</v>
      </c>
    </row>
    <row r="4213" spans="1:1" x14ac:dyDescent="0.2">
      <c r="A4213">
        <v>2137.7570548399235</v>
      </c>
    </row>
    <row r="4214" spans="1:1" x14ac:dyDescent="0.2">
      <c r="A4214">
        <v>-7331.2134796162718</v>
      </c>
    </row>
    <row r="4215" spans="1:1" x14ac:dyDescent="0.2">
      <c r="A4215">
        <v>9721.8491368491959</v>
      </c>
    </row>
    <row r="4216" spans="1:1" x14ac:dyDescent="0.2">
      <c r="A4216">
        <v>6742.7381424033083</v>
      </c>
    </row>
    <row r="4217" spans="1:1" x14ac:dyDescent="0.2">
      <c r="A4217">
        <v>2900.3160152416967</v>
      </c>
    </row>
    <row r="4218" spans="1:1" x14ac:dyDescent="0.2">
      <c r="A4218">
        <v>8433.8697486809397</v>
      </c>
    </row>
    <row r="4219" spans="1:1" x14ac:dyDescent="0.2">
      <c r="A4219">
        <v>9704.3573578494252</v>
      </c>
    </row>
    <row r="4220" spans="1:1" x14ac:dyDescent="0.2">
      <c r="A4220">
        <v>21067.470698947494</v>
      </c>
    </row>
    <row r="4221" spans="1:1" x14ac:dyDescent="0.2">
      <c r="A4221">
        <v>4209.9253645012795</v>
      </c>
    </row>
    <row r="4222" spans="1:1" x14ac:dyDescent="0.2">
      <c r="A4222">
        <v>10470.072438009782</v>
      </c>
    </row>
    <row r="4223" spans="1:1" x14ac:dyDescent="0.2">
      <c r="A4223">
        <v>10368.630845092062</v>
      </c>
    </row>
    <row r="4224" spans="1:1" x14ac:dyDescent="0.2">
      <c r="A4224">
        <v>12308.965606056503</v>
      </c>
    </row>
    <row r="4225" spans="1:1" x14ac:dyDescent="0.2">
      <c r="A4225">
        <v>6671.7892594984442</v>
      </c>
    </row>
    <row r="4226" spans="1:1" x14ac:dyDescent="0.2">
      <c r="A4226">
        <v>5249.589679040364</v>
      </c>
    </row>
    <row r="4227" spans="1:1" x14ac:dyDescent="0.2">
      <c r="A4227">
        <v>8501.2832167497254</v>
      </c>
    </row>
    <row r="4228" spans="1:1" x14ac:dyDescent="0.2">
      <c r="A4228">
        <v>11713.201381531602</v>
      </c>
    </row>
    <row r="4229" spans="1:1" x14ac:dyDescent="0.2">
      <c r="A4229">
        <v>-20894.459787171334</v>
      </c>
    </row>
    <row r="4230" spans="1:1" x14ac:dyDescent="0.2">
      <c r="A4230">
        <v>14708.309971574461</v>
      </c>
    </row>
    <row r="4231" spans="1:1" x14ac:dyDescent="0.2">
      <c r="A4231">
        <v>-2579.7354877775069</v>
      </c>
    </row>
    <row r="4232" spans="1:1" x14ac:dyDescent="0.2">
      <c r="A4232">
        <v>-8767.3735855282866</v>
      </c>
    </row>
    <row r="4233" spans="1:1" x14ac:dyDescent="0.2">
      <c r="A4233">
        <v>5201.7688040337525</v>
      </c>
    </row>
    <row r="4234" spans="1:1" x14ac:dyDescent="0.2">
      <c r="A4234">
        <v>4241.7564882937295</v>
      </c>
    </row>
    <row r="4235" spans="1:1" x14ac:dyDescent="0.2">
      <c r="A4235">
        <v>-17040.732900150761</v>
      </c>
    </row>
    <row r="4236" spans="1:1" x14ac:dyDescent="0.2">
      <c r="A4236">
        <v>4365.1751587534091</v>
      </c>
    </row>
    <row r="4237" spans="1:1" x14ac:dyDescent="0.2">
      <c r="A4237">
        <v>7285.7368140219478</v>
      </c>
    </row>
    <row r="4238" spans="1:1" x14ac:dyDescent="0.2">
      <c r="A4238">
        <v>-14305.811596196872</v>
      </c>
    </row>
    <row r="4239" spans="1:1" x14ac:dyDescent="0.2">
      <c r="A4239">
        <v>-9073.5289905853278</v>
      </c>
    </row>
    <row r="4240" spans="1:1" x14ac:dyDescent="0.2">
      <c r="A4240">
        <v>-1657.2939060794597</v>
      </c>
    </row>
    <row r="4241" spans="1:1" x14ac:dyDescent="0.2">
      <c r="A4241">
        <v>1384.8016694354883</v>
      </c>
    </row>
    <row r="4242" spans="1:1" x14ac:dyDescent="0.2">
      <c r="A4242">
        <v>-9847.1157483688439</v>
      </c>
    </row>
    <row r="4243" spans="1:1" x14ac:dyDescent="0.2">
      <c r="A4243">
        <v>2757.2367842588574</v>
      </c>
    </row>
    <row r="4244" spans="1:1" x14ac:dyDescent="0.2">
      <c r="A4244">
        <v>9795.0011409858416</v>
      </c>
    </row>
    <row r="4245" spans="1:1" x14ac:dyDescent="0.2">
      <c r="A4245">
        <v>11320.880229276459</v>
      </c>
    </row>
    <row r="4246" spans="1:1" x14ac:dyDescent="0.2">
      <c r="A4246">
        <v>25304.921639195178</v>
      </c>
    </row>
    <row r="4247" spans="1:1" x14ac:dyDescent="0.2">
      <c r="A4247">
        <v>-12190.858791349863</v>
      </c>
    </row>
    <row r="4248" spans="1:1" x14ac:dyDescent="0.2">
      <c r="A4248">
        <v>9652.259933821304</v>
      </c>
    </row>
    <row r="4249" spans="1:1" x14ac:dyDescent="0.2">
      <c r="A4249">
        <v>-13148.254325785034</v>
      </c>
    </row>
    <row r="4250" spans="1:1" x14ac:dyDescent="0.2">
      <c r="A4250">
        <v>10938.157898304053</v>
      </c>
    </row>
    <row r="4251" spans="1:1" x14ac:dyDescent="0.2">
      <c r="A4251">
        <v>-9842.6160332345753</v>
      </c>
    </row>
    <row r="4252" spans="1:1" x14ac:dyDescent="0.2">
      <c r="A4252">
        <v>12153.098843400949</v>
      </c>
    </row>
    <row r="4253" spans="1:1" x14ac:dyDescent="0.2">
      <c r="A4253">
        <v>-10084.964958319557</v>
      </c>
    </row>
    <row r="4254" spans="1:1" x14ac:dyDescent="0.2">
      <c r="A4254">
        <v>-1081.3683128948323</v>
      </c>
    </row>
    <row r="4255" spans="1:1" x14ac:dyDescent="0.2">
      <c r="A4255">
        <v>-1102.7834560643532</v>
      </c>
    </row>
    <row r="4256" spans="1:1" x14ac:dyDescent="0.2">
      <c r="A4256">
        <v>13505.122541215183</v>
      </c>
    </row>
    <row r="4257" spans="1:1" x14ac:dyDescent="0.2">
      <c r="A4257">
        <v>-5622.479764334741</v>
      </c>
    </row>
    <row r="4258" spans="1:1" x14ac:dyDescent="0.2">
      <c r="A4258">
        <v>3842.2856463479693</v>
      </c>
    </row>
    <row r="4259" spans="1:1" x14ac:dyDescent="0.2">
      <c r="A4259">
        <v>12959.83606182519</v>
      </c>
    </row>
    <row r="4260" spans="1:1" x14ac:dyDescent="0.2">
      <c r="A4260">
        <v>-19857.208863428095</v>
      </c>
    </row>
    <row r="4261" spans="1:1" x14ac:dyDescent="0.2">
      <c r="A4261">
        <v>26735.004586673575</v>
      </c>
    </row>
    <row r="4262" spans="1:1" x14ac:dyDescent="0.2">
      <c r="A4262">
        <v>704.93499841744779</v>
      </c>
    </row>
    <row r="4263" spans="1:1" x14ac:dyDescent="0.2">
      <c r="A4263">
        <v>-23249.125834344362</v>
      </c>
    </row>
    <row r="4264" spans="1:1" x14ac:dyDescent="0.2">
      <c r="A4264">
        <v>13659.224024675495</v>
      </c>
    </row>
    <row r="4265" spans="1:1" x14ac:dyDescent="0.2">
      <c r="A4265">
        <v>-1888.8276191460318</v>
      </c>
    </row>
    <row r="4266" spans="1:1" x14ac:dyDescent="0.2">
      <c r="A4266">
        <v>11970.715918552596</v>
      </c>
    </row>
    <row r="4267" spans="1:1" x14ac:dyDescent="0.2">
      <c r="A4267">
        <v>6423.8716427836916</v>
      </c>
    </row>
    <row r="4268" spans="1:1" x14ac:dyDescent="0.2">
      <c r="A4268">
        <v>5893.44628921189</v>
      </c>
    </row>
    <row r="4269" spans="1:1" x14ac:dyDescent="0.2">
      <c r="A4269">
        <v>-3749.6688231630542</v>
      </c>
    </row>
    <row r="4270" spans="1:1" x14ac:dyDescent="0.2">
      <c r="A4270">
        <v>-1375.9199667398352</v>
      </c>
    </row>
    <row r="4271" spans="1:1" x14ac:dyDescent="0.2">
      <c r="A4271">
        <v>5386.8004935624194</v>
      </c>
    </row>
    <row r="4272" spans="1:1" x14ac:dyDescent="0.2">
      <c r="A4272">
        <v>-11143.287197883823</v>
      </c>
    </row>
    <row r="4273" spans="1:1" x14ac:dyDescent="0.2">
      <c r="A4273">
        <v>-2989.5095851769438</v>
      </c>
    </row>
    <row r="4274" spans="1:1" x14ac:dyDescent="0.2">
      <c r="A4274">
        <v>22570.422121387615</v>
      </c>
    </row>
    <row r="4275" spans="1:1" x14ac:dyDescent="0.2">
      <c r="A4275">
        <v>23747.75355266704</v>
      </c>
    </row>
    <row r="4276" spans="1:1" x14ac:dyDescent="0.2">
      <c r="A4276">
        <v>17232.75546994264</v>
      </c>
    </row>
    <row r="4277" spans="1:1" x14ac:dyDescent="0.2">
      <c r="A4277">
        <v>1031.00434331203</v>
      </c>
    </row>
    <row r="4278" spans="1:1" x14ac:dyDescent="0.2">
      <c r="A4278">
        <v>-501.98940394434612</v>
      </c>
    </row>
    <row r="4279" spans="1:1" x14ac:dyDescent="0.2">
      <c r="A4279">
        <v>-4438.9425003990764</v>
      </c>
    </row>
    <row r="4280" spans="1:1" x14ac:dyDescent="0.2">
      <c r="A4280">
        <v>18841.92954168524</v>
      </c>
    </row>
    <row r="4281" spans="1:1" x14ac:dyDescent="0.2">
      <c r="A4281">
        <v>3409.2638809160562</v>
      </c>
    </row>
    <row r="4282" spans="1:1" x14ac:dyDescent="0.2">
      <c r="A4282">
        <v>-1439.8099453310715</v>
      </c>
    </row>
    <row r="4283" spans="1:1" x14ac:dyDescent="0.2">
      <c r="A4283">
        <v>5075.9047722037067</v>
      </c>
    </row>
    <row r="4284" spans="1:1" x14ac:dyDescent="0.2">
      <c r="A4284">
        <v>-21240.188006550597</v>
      </c>
    </row>
    <row r="4285" spans="1:1" x14ac:dyDescent="0.2">
      <c r="A4285">
        <v>-1968.0777307047683</v>
      </c>
    </row>
    <row r="4286" spans="1:1" x14ac:dyDescent="0.2">
      <c r="A4286">
        <v>5494.6375039806298</v>
      </c>
    </row>
    <row r="4287" spans="1:1" x14ac:dyDescent="0.2">
      <c r="A4287">
        <v>-608.44199147430481</v>
      </c>
    </row>
    <row r="4288" spans="1:1" x14ac:dyDescent="0.2">
      <c r="A4288">
        <v>4749.9929028120823</v>
      </c>
    </row>
    <row r="4289" spans="1:1" x14ac:dyDescent="0.2">
      <c r="A4289">
        <v>-12961.730243431462</v>
      </c>
    </row>
    <row r="4290" spans="1:1" x14ac:dyDescent="0.2">
      <c r="A4290">
        <v>656.06644850724842</v>
      </c>
    </row>
    <row r="4291" spans="1:1" x14ac:dyDescent="0.2">
      <c r="A4291">
        <v>1477.8166341647157</v>
      </c>
    </row>
    <row r="4292" spans="1:1" x14ac:dyDescent="0.2">
      <c r="A4292">
        <v>4203.5002518440015</v>
      </c>
    </row>
    <row r="4293" spans="1:1" x14ac:dyDescent="0.2">
      <c r="A4293">
        <v>-4814.0748840325687</v>
      </c>
    </row>
    <row r="4294" spans="1:1" x14ac:dyDescent="0.2">
      <c r="A4294">
        <v>-13127.739226824546</v>
      </c>
    </row>
    <row r="4295" spans="1:1" x14ac:dyDescent="0.2">
      <c r="A4295">
        <v>-1836.7312557580299</v>
      </c>
    </row>
    <row r="4296" spans="1:1" x14ac:dyDescent="0.2">
      <c r="A4296">
        <v>15701.569600903866</v>
      </c>
    </row>
    <row r="4297" spans="1:1" x14ac:dyDescent="0.2">
      <c r="A4297">
        <v>4332.2462705738144</v>
      </c>
    </row>
    <row r="4298" spans="1:1" x14ac:dyDescent="0.2">
      <c r="A4298">
        <v>4787.4809857246</v>
      </c>
    </row>
    <row r="4299" spans="1:1" x14ac:dyDescent="0.2">
      <c r="A4299">
        <v>3767.5517489202903</v>
      </c>
    </row>
    <row r="4300" spans="1:1" x14ac:dyDescent="0.2">
      <c r="A4300">
        <v>2582.2230377954256</v>
      </c>
    </row>
    <row r="4301" spans="1:1" x14ac:dyDescent="0.2">
      <c r="A4301">
        <v>-11180.285508551169</v>
      </c>
    </row>
    <row r="4302" spans="1:1" x14ac:dyDescent="0.2">
      <c r="A4302">
        <v>10465.795925949482</v>
      </c>
    </row>
    <row r="4303" spans="1:1" x14ac:dyDescent="0.2">
      <c r="A4303">
        <v>14309.786415727373</v>
      </c>
    </row>
    <row r="4304" spans="1:1" x14ac:dyDescent="0.2">
      <c r="A4304">
        <v>5962.0344917945913</v>
      </c>
    </row>
    <row r="4305" spans="1:1" x14ac:dyDescent="0.2">
      <c r="A4305">
        <v>-29492.94846048014</v>
      </c>
    </row>
    <row r="4306" spans="1:1" x14ac:dyDescent="0.2">
      <c r="A4306">
        <v>17109.781061657326</v>
      </c>
    </row>
    <row r="4307" spans="1:1" x14ac:dyDescent="0.2">
      <c r="A4307">
        <v>19011.606160677969</v>
      </c>
    </row>
    <row r="4308" spans="1:1" x14ac:dyDescent="0.2">
      <c r="A4308">
        <v>-517.08684619964333</v>
      </c>
    </row>
    <row r="4309" spans="1:1" x14ac:dyDescent="0.2">
      <c r="A4309">
        <v>-7124.3397697402397</v>
      </c>
    </row>
    <row r="4310" spans="1:1" x14ac:dyDescent="0.2">
      <c r="A4310">
        <v>3865.6248555471248</v>
      </c>
    </row>
    <row r="4311" spans="1:1" x14ac:dyDescent="0.2">
      <c r="A4311">
        <v>-6746.3148156313109</v>
      </c>
    </row>
    <row r="4312" spans="1:1" x14ac:dyDescent="0.2">
      <c r="A4312">
        <v>6735.739524934208</v>
      </c>
    </row>
    <row r="4313" spans="1:1" x14ac:dyDescent="0.2">
      <c r="A4313">
        <v>-10337.665571861377</v>
      </c>
    </row>
    <row r="4314" spans="1:1" x14ac:dyDescent="0.2">
      <c r="A4314">
        <v>9688.9097090001742</v>
      </c>
    </row>
    <row r="4315" spans="1:1" x14ac:dyDescent="0.2">
      <c r="A4315">
        <v>14490.321950358048</v>
      </c>
    </row>
    <row r="4316" spans="1:1" x14ac:dyDescent="0.2">
      <c r="A4316">
        <v>9470.6017662506201</v>
      </c>
    </row>
    <row r="4317" spans="1:1" x14ac:dyDescent="0.2">
      <c r="A4317">
        <v>-324.56554247514578</v>
      </c>
    </row>
    <row r="4318" spans="1:1" x14ac:dyDescent="0.2">
      <c r="A4318">
        <v>16620.997588559228</v>
      </c>
    </row>
    <row r="4319" spans="1:1" x14ac:dyDescent="0.2">
      <c r="A4319">
        <v>5046.9775564818701</v>
      </c>
    </row>
    <row r="4320" spans="1:1" x14ac:dyDescent="0.2">
      <c r="A4320">
        <v>-73.151741495006718</v>
      </c>
    </row>
    <row r="4321" spans="1:1" x14ac:dyDescent="0.2">
      <c r="A4321">
        <v>6965.3518751170195</v>
      </c>
    </row>
    <row r="4322" spans="1:1" x14ac:dyDescent="0.2">
      <c r="A4322">
        <v>7050.2234156679478</v>
      </c>
    </row>
    <row r="4323" spans="1:1" x14ac:dyDescent="0.2">
      <c r="A4323">
        <v>1654.4696411920595</v>
      </c>
    </row>
    <row r="4324" spans="1:1" x14ac:dyDescent="0.2">
      <c r="A4324">
        <v>1298.3762391089695</v>
      </c>
    </row>
    <row r="4325" spans="1:1" x14ac:dyDescent="0.2">
      <c r="A4325">
        <v>766.2039017965144</v>
      </c>
    </row>
    <row r="4326" spans="1:1" x14ac:dyDescent="0.2">
      <c r="A4326">
        <v>2528.1885956612823</v>
      </c>
    </row>
    <row r="4327" spans="1:1" x14ac:dyDescent="0.2">
      <c r="A4327">
        <v>-19341.6007968536</v>
      </c>
    </row>
    <row r="4328" spans="1:1" x14ac:dyDescent="0.2">
      <c r="A4328">
        <v>7312.8732978820626</v>
      </c>
    </row>
    <row r="4329" spans="1:1" x14ac:dyDescent="0.2">
      <c r="A4329">
        <v>11232.318567763985</v>
      </c>
    </row>
    <row r="4330" spans="1:1" x14ac:dyDescent="0.2">
      <c r="A4330">
        <v>-12276.271417071694</v>
      </c>
    </row>
    <row r="4331" spans="1:1" x14ac:dyDescent="0.2">
      <c r="A4331">
        <v>-1948.655349554203</v>
      </c>
    </row>
    <row r="4332" spans="1:1" x14ac:dyDescent="0.2">
      <c r="A4332">
        <v>1493.6729056218755</v>
      </c>
    </row>
    <row r="4333" spans="1:1" x14ac:dyDescent="0.2">
      <c r="A4333">
        <v>-5872.6335171549581</v>
      </c>
    </row>
    <row r="4334" spans="1:1" x14ac:dyDescent="0.2">
      <c r="A4334">
        <v>2691.0448020684416</v>
      </c>
    </row>
    <row r="4335" spans="1:1" x14ac:dyDescent="0.2">
      <c r="A4335">
        <v>16876.112126043416</v>
      </c>
    </row>
    <row r="4336" spans="1:1" x14ac:dyDescent="0.2">
      <c r="A4336">
        <v>6611.902776250703</v>
      </c>
    </row>
    <row r="4337" spans="1:1" x14ac:dyDescent="0.2">
      <c r="A4337">
        <v>-394.0320696348208</v>
      </c>
    </row>
    <row r="4338" spans="1:1" x14ac:dyDescent="0.2">
      <c r="A4338">
        <v>-1824.0567037116562</v>
      </c>
    </row>
    <row r="4339" spans="1:1" x14ac:dyDescent="0.2">
      <c r="A4339">
        <v>13397.366051552002</v>
      </c>
    </row>
    <row r="4340" spans="1:1" x14ac:dyDescent="0.2">
      <c r="A4340">
        <v>3433.170489586686</v>
      </c>
    </row>
    <row r="4341" spans="1:1" x14ac:dyDescent="0.2">
      <c r="A4341">
        <v>532.44160662463401</v>
      </c>
    </row>
    <row r="4342" spans="1:1" x14ac:dyDescent="0.2">
      <c r="A4342">
        <v>-8309.3578922046581</v>
      </c>
    </row>
    <row r="4343" spans="1:1" x14ac:dyDescent="0.2">
      <c r="A4343">
        <v>-2981.4138562088774</v>
      </c>
    </row>
    <row r="4344" spans="1:1" x14ac:dyDescent="0.2">
      <c r="A4344">
        <v>6183.6472479376243</v>
      </c>
    </row>
    <row r="4345" spans="1:1" x14ac:dyDescent="0.2">
      <c r="A4345">
        <v>6209.0147390859202</v>
      </c>
    </row>
    <row r="4346" spans="1:1" x14ac:dyDescent="0.2">
      <c r="A4346">
        <v>18062.629586651077</v>
      </c>
    </row>
    <row r="4347" spans="1:1" x14ac:dyDescent="0.2">
      <c r="A4347">
        <v>-7883.7527054575039</v>
      </c>
    </row>
    <row r="4348" spans="1:1" x14ac:dyDescent="0.2">
      <c r="A4348">
        <v>-4216.6553943876643</v>
      </c>
    </row>
    <row r="4349" spans="1:1" x14ac:dyDescent="0.2">
      <c r="A4349">
        <v>2371.1196920059738</v>
      </c>
    </row>
    <row r="4350" spans="1:1" x14ac:dyDescent="0.2">
      <c r="A4350">
        <v>-3405.7460896550328</v>
      </c>
    </row>
    <row r="4351" spans="1:1" x14ac:dyDescent="0.2">
      <c r="A4351">
        <v>-645.77219102164963</v>
      </c>
    </row>
    <row r="4352" spans="1:1" x14ac:dyDescent="0.2">
      <c r="A4352">
        <v>-2407.1071476759971</v>
      </c>
    </row>
    <row r="4353" spans="1:1" x14ac:dyDescent="0.2">
      <c r="A4353">
        <v>7486.1020312249602</v>
      </c>
    </row>
    <row r="4354" spans="1:1" x14ac:dyDescent="0.2">
      <c r="A4354">
        <v>-913.21608115313575</v>
      </c>
    </row>
    <row r="4355" spans="1:1" x14ac:dyDescent="0.2">
      <c r="A4355">
        <v>-13265.99273772561</v>
      </c>
    </row>
    <row r="4356" spans="1:1" x14ac:dyDescent="0.2">
      <c r="A4356">
        <v>14336.026746048447</v>
      </c>
    </row>
    <row r="4357" spans="1:1" x14ac:dyDescent="0.2">
      <c r="A4357">
        <v>-8357.95663733728</v>
      </c>
    </row>
    <row r="4358" spans="1:1" x14ac:dyDescent="0.2">
      <c r="A4358">
        <v>-130.80061902734451</v>
      </c>
    </row>
    <row r="4359" spans="1:1" x14ac:dyDescent="0.2">
      <c r="A4359">
        <v>7877.0757324761944</v>
      </c>
    </row>
    <row r="4360" spans="1:1" x14ac:dyDescent="0.2">
      <c r="A4360">
        <v>-2573.9023711057671</v>
      </c>
    </row>
    <row r="4361" spans="1:1" x14ac:dyDescent="0.2">
      <c r="A4361">
        <v>11500.142096606432</v>
      </c>
    </row>
    <row r="4362" spans="1:1" x14ac:dyDescent="0.2">
      <c r="A4362">
        <v>7778.1565795832139</v>
      </c>
    </row>
    <row r="4363" spans="1:1" x14ac:dyDescent="0.2">
      <c r="A4363">
        <v>-15750.698251671332</v>
      </c>
    </row>
    <row r="4364" spans="1:1" x14ac:dyDescent="0.2">
      <c r="A4364">
        <v>-20818.606216590648</v>
      </c>
    </row>
    <row r="4365" spans="1:1" x14ac:dyDescent="0.2">
      <c r="A4365">
        <v>-314.09570861366228</v>
      </c>
    </row>
    <row r="4366" spans="1:1" x14ac:dyDescent="0.2">
      <c r="A4366">
        <v>5907.1113881904748</v>
      </c>
    </row>
    <row r="4367" spans="1:1" x14ac:dyDescent="0.2">
      <c r="A4367">
        <v>-4594.4024880266224</v>
      </c>
    </row>
    <row r="4368" spans="1:1" x14ac:dyDescent="0.2">
      <c r="A4368">
        <v>-14345.347404016968</v>
      </c>
    </row>
    <row r="4369" spans="1:1" x14ac:dyDescent="0.2">
      <c r="A4369">
        <v>-745.58140158190508</v>
      </c>
    </row>
    <row r="4370" spans="1:1" x14ac:dyDescent="0.2">
      <c r="A4370">
        <v>854.67566898508812</v>
      </c>
    </row>
    <row r="4371" spans="1:1" x14ac:dyDescent="0.2">
      <c r="A4371">
        <v>11744.116617742053</v>
      </c>
    </row>
    <row r="4372" spans="1:1" x14ac:dyDescent="0.2">
      <c r="A4372">
        <v>-33.192326399788726</v>
      </c>
    </row>
    <row r="4373" spans="1:1" x14ac:dyDescent="0.2">
      <c r="A4373">
        <v>-3180.3400913258083</v>
      </c>
    </row>
    <row r="4374" spans="1:1" x14ac:dyDescent="0.2">
      <c r="A4374">
        <v>3206.8750425012549</v>
      </c>
    </row>
    <row r="4375" spans="1:1" x14ac:dyDescent="0.2">
      <c r="A4375">
        <v>-9903.4981621959014</v>
      </c>
    </row>
    <row r="4376" spans="1:1" x14ac:dyDescent="0.2">
      <c r="A4376">
        <v>-401.52863811893621</v>
      </c>
    </row>
    <row r="4377" spans="1:1" x14ac:dyDescent="0.2">
      <c r="A4377">
        <v>-16728.077847139502</v>
      </c>
    </row>
    <row r="4378" spans="1:1" x14ac:dyDescent="0.2">
      <c r="A4378">
        <v>1010.6885804040649</v>
      </c>
    </row>
    <row r="4379" spans="1:1" x14ac:dyDescent="0.2">
      <c r="A4379">
        <v>9756.7970943365945</v>
      </c>
    </row>
    <row r="4380" spans="1:1" x14ac:dyDescent="0.2">
      <c r="A4380">
        <v>-12716.530522378889</v>
      </c>
    </row>
    <row r="4381" spans="1:1" x14ac:dyDescent="0.2">
      <c r="A4381">
        <v>-15506.976939293731</v>
      </c>
    </row>
    <row r="4382" spans="1:1" x14ac:dyDescent="0.2">
      <c r="A4382">
        <v>6635.7879569020006</v>
      </c>
    </row>
    <row r="4383" spans="1:1" x14ac:dyDescent="0.2">
      <c r="A4383">
        <v>-4341.4144695894502</v>
      </c>
    </row>
    <row r="4384" spans="1:1" x14ac:dyDescent="0.2">
      <c r="A4384">
        <v>304.38332213336253</v>
      </c>
    </row>
    <row r="4385" spans="1:1" x14ac:dyDescent="0.2">
      <c r="A4385">
        <v>-25506.323340267409</v>
      </c>
    </row>
    <row r="4386" spans="1:1" x14ac:dyDescent="0.2">
      <c r="A4386">
        <v>3995.970402441395</v>
      </c>
    </row>
    <row r="4387" spans="1:1" x14ac:dyDescent="0.2">
      <c r="A4387">
        <v>-3881.4767641585786</v>
      </c>
    </row>
    <row r="4388" spans="1:1" x14ac:dyDescent="0.2">
      <c r="A4388">
        <v>8539.0597761298704</v>
      </c>
    </row>
    <row r="4389" spans="1:1" x14ac:dyDescent="0.2">
      <c r="A4389">
        <v>-10498.867566693778</v>
      </c>
    </row>
    <row r="4390" spans="1:1" x14ac:dyDescent="0.2">
      <c r="A4390">
        <v>4228.6596548855305</v>
      </c>
    </row>
    <row r="4391" spans="1:1" x14ac:dyDescent="0.2">
      <c r="A4391">
        <v>9939.7468952573836</v>
      </c>
    </row>
    <row r="4392" spans="1:1" x14ac:dyDescent="0.2">
      <c r="A4392">
        <v>1630.6876552784815</v>
      </c>
    </row>
    <row r="4393" spans="1:1" x14ac:dyDescent="0.2">
      <c r="A4393">
        <v>-8506.3182329048286</v>
      </c>
    </row>
    <row r="4394" spans="1:1" x14ac:dyDescent="0.2">
      <c r="A4394">
        <v>866.49179903941695</v>
      </c>
    </row>
    <row r="4395" spans="1:1" x14ac:dyDescent="0.2">
      <c r="A4395">
        <v>12750.810092731175</v>
      </c>
    </row>
    <row r="4396" spans="1:1" x14ac:dyDescent="0.2">
      <c r="A4396">
        <v>-12490.369577545556</v>
      </c>
    </row>
    <row r="4397" spans="1:1" x14ac:dyDescent="0.2">
      <c r="A4397">
        <v>2464.449340944615</v>
      </c>
    </row>
    <row r="4398" spans="1:1" x14ac:dyDescent="0.2">
      <c r="A4398">
        <v>4984.2129427047621</v>
      </c>
    </row>
    <row r="4399" spans="1:1" x14ac:dyDescent="0.2">
      <c r="A4399">
        <v>4104.2925283964432</v>
      </c>
    </row>
    <row r="4400" spans="1:1" x14ac:dyDescent="0.2">
      <c r="A4400">
        <v>15782.741390669951</v>
      </c>
    </row>
    <row r="4401" spans="1:1" x14ac:dyDescent="0.2">
      <c r="A4401">
        <v>1484.4493858700735</v>
      </c>
    </row>
    <row r="4402" spans="1:1" x14ac:dyDescent="0.2">
      <c r="A4402">
        <v>2181.7976640728011</v>
      </c>
    </row>
    <row r="4403" spans="1:1" x14ac:dyDescent="0.2">
      <c r="A4403">
        <v>-14305.076943837979</v>
      </c>
    </row>
    <row r="4404" spans="1:1" x14ac:dyDescent="0.2">
      <c r="A4404">
        <v>10151.048384234222</v>
      </c>
    </row>
    <row r="4405" spans="1:1" x14ac:dyDescent="0.2">
      <c r="A4405">
        <v>15852.782177285699</v>
      </c>
    </row>
    <row r="4406" spans="1:1" x14ac:dyDescent="0.2">
      <c r="A4406">
        <v>4412.4799559400999</v>
      </c>
    </row>
    <row r="4407" spans="1:1" x14ac:dyDescent="0.2">
      <c r="A4407">
        <v>2822.3926357274759</v>
      </c>
    </row>
    <row r="4408" spans="1:1" x14ac:dyDescent="0.2">
      <c r="A4408">
        <v>-4259.0602153915097</v>
      </c>
    </row>
    <row r="4409" spans="1:1" x14ac:dyDescent="0.2">
      <c r="A4409">
        <v>3636.2353078547749</v>
      </c>
    </row>
    <row r="4410" spans="1:1" x14ac:dyDescent="0.2">
      <c r="A4410">
        <v>11316.702443909773</v>
      </c>
    </row>
    <row r="4411" spans="1:1" x14ac:dyDescent="0.2">
      <c r="A4411">
        <v>-5918.7970969403978</v>
      </c>
    </row>
    <row r="4412" spans="1:1" x14ac:dyDescent="0.2">
      <c r="A4412">
        <v>4812.1953873829043</v>
      </c>
    </row>
    <row r="4413" spans="1:1" x14ac:dyDescent="0.2">
      <c r="A4413">
        <v>-4114.650956984493</v>
      </c>
    </row>
    <row r="4414" spans="1:1" x14ac:dyDescent="0.2">
      <c r="A4414">
        <v>4080.1937507292605</v>
      </c>
    </row>
    <row r="4415" spans="1:1" x14ac:dyDescent="0.2">
      <c r="A4415">
        <v>1333.221270838374</v>
      </c>
    </row>
    <row r="4416" spans="1:1" x14ac:dyDescent="0.2">
      <c r="A4416">
        <v>222.06493866670644</v>
      </c>
    </row>
    <row r="4417" spans="1:1" x14ac:dyDescent="0.2">
      <c r="A4417">
        <v>14020.104280506581</v>
      </c>
    </row>
    <row r="4418" spans="1:1" x14ac:dyDescent="0.2">
      <c r="A4418">
        <v>12958.442464911408</v>
      </c>
    </row>
    <row r="4419" spans="1:1" x14ac:dyDescent="0.2">
      <c r="A4419">
        <v>2003.5610513166757</v>
      </c>
    </row>
    <row r="4420" spans="1:1" x14ac:dyDescent="0.2">
      <c r="A4420">
        <v>-1100.1492488486692</v>
      </c>
    </row>
    <row r="4421" spans="1:1" x14ac:dyDescent="0.2">
      <c r="A4421">
        <v>13436.201811214763</v>
      </c>
    </row>
    <row r="4422" spans="1:1" x14ac:dyDescent="0.2">
      <c r="A4422">
        <v>654.20639488953748</v>
      </c>
    </row>
    <row r="4423" spans="1:1" x14ac:dyDescent="0.2">
      <c r="A4423">
        <v>6171.6009619915567</v>
      </c>
    </row>
    <row r="4424" spans="1:1" x14ac:dyDescent="0.2">
      <c r="A4424">
        <v>20018.853018577036</v>
      </c>
    </row>
    <row r="4425" spans="1:1" x14ac:dyDescent="0.2">
      <c r="A4425">
        <v>9037.6244070304383</v>
      </c>
    </row>
    <row r="4426" spans="1:1" x14ac:dyDescent="0.2">
      <c r="A4426">
        <v>17553.64360802481</v>
      </c>
    </row>
    <row r="4427" spans="1:1" x14ac:dyDescent="0.2">
      <c r="A4427">
        <v>4643.2979055638134</v>
      </c>
    </row>
    <row r="4428" spans="1:1" x14ac:dyDescent="0.2">
      <c r="A4428">
        <v>-12681.015746233694</v>
      </c>
    </row>
    <row r="4429" spans="1:1" x14ac:dyDescent="0.2">
      <c r="A4429">
        <v>-83.494605994783342</v>
      </c>
    </row>
    <row r="4430" spans="1:1" x14ac:dyDescent="0.2">
      <c r="A4430">
        <v>-3053.0253957193927</v>
      </c>
    </row>
    <row r="4431" spans="1:1" x14ac:dyDescent="0.2">
      <c r="A4431">
        <v>-7751.3100015576347</v>
      </c>
    </row>
    <row r="4432" spans="1:1" x14ac:dyDescent="0.2">
      <c r="A4432">
        <v>822.82448672549799</v>
      </c>
    </row>
    <row r="4433" spans="1:1" x14ac:dyDescent="0.2">
      <c r="A4433">
        <v>-2345.0400987696485</v>
      </c>
    </row>
    <row r="4434" spans="1:1" x14ac:dyDescent="0.2">
      <c r="A4434">
        <v>7143.6922493950406</v>
      </c>
    </row>
    <row r="4435" spans="1:1" x14ac:dyDescent="0.2">
      <c r="A4435">
        <v>13152.881311444158</v>
      </c>
    </row>
    <row r="4436" spans="1:1" x14ac:dyDescent="0.2">
      <c r="A4436">
        <v>10008.468204364297</v>
      </c>
    </row>
    <row r="4437" spans="1:1" x14ac:dyDescent="0.2">
      <c r="A4437">
        <v>-10270.073866380437</v>
      </c>
    </row>
    <row r="4438" spans="1:1" x14ac:dyDescent="0.2">
      <c r="A4438">
        <v>8835.5855053653358</v>
      </c>
    </row>
    <row r="4439" spans="1:1" x14ac:dyDescent="0.2">
      <c r="A4439">
        <v>1546.14449274246</v>
      </c>
    </row>
    <row r="4440" spans="1:1" x14ac:dyDescent="0.2">
      <c r="A4440">
        <v>7043.1760698995495</v>
      </c>
    </row>
    <row r="4441" spans="1:1" x14ac:dyDescent="0.2">
      <c r="A4441">
        <v>18122.857276126277</v>
      </c>
    </row>
    <row r="4442" spans="1:1" x14ac:dyDescent="0.2">
      <c r="A4442">
        <v>14959.323491391842</v>
      </c>
    </row>
    <row r="4443" spans="1:1" x14ac:dyDescent="0.2">
      <c r="A4443">
        <v>-18488.336644235038</v>
      </c>
    </row>
    <row r="4444" spans="1:1" x14ac:dyDescent="0.2">
      <c r="A4444">
        <v>-7746.3903740392416</v>
      </c>
    </row>
    <row r="4445" spans="1:1" x14ac:dyDescent="0.2">
      <c r="A4445">
        <v>6008.6975964300218</v>
      </c>
    </row>
    <row r="4446" spans="1:1" x14ac:dyDescent="0.2">
      <c r="A4446">
        <v>-34102.334870073886</v>
      </c>
    </row>
    <row r="4447" spans="1:1" x14ac:dyDescent="0.2">
      <c r="A4447">
        <v>-9969.9938825482386</v>
      </c>
    </row>
    <row r="4448" spans="1:1" x14ac:dyDescent="0.2">
      <c r="A4448">
        <v>11420.089707944921</v>
      </c>
    </row>
    <row r="4449" spans="1:1" x14ac:dyDescent="0.2">
      <c r="A4449">
        <v>3385.839809899393</v>
      </c>
    </row>
    <row r="4450" spans="1:1" x14ac:dyDescent="0.2">
      <c r="A4450">
        <v>1784.3721201139269</v>
      </c>
    </row>
    <row r="4451" spans="1:1" x14ac:dyDescent="0.2">
      <c r="A4451">
        <v>8037.6455850197526</v>
      </c>
    </row>
    <row r="4452" spans="1:1" x14ac:dyDescent="0.2">
      <c r="A4452">
        <v>9476.5608115003852</v>
      </c>
    </row>
    <row r="4453" spans="1:1" x14ac:dyDescent="0.2">
      <c r="A4453">
        <v>-5629.0542823936266</v>
      </c>
    </row>
    <row r="4454" spans="1:1" x14ac:dyDescent="0.2">
      <c r="A4454">
        <v>-7133.3207533112727</v>
      </c>
    </row>
    <row r="4455" spans="1:1" x14ac:dyDescent="0.2">
      <c r="A4455">
        <v>3451.8467241013714</v>
      </c>
    </row>
    <row r="4456" spans="1:1" x14ac:dyDescent="0.2">
      <c r="A4456">
        <v>4810.9782994199195</v>
      </c>
    </row>
    <row r="4457" spans="1:1" x14ac:dyDescent="0.2">
      <c r="A4457">
        <v>7630.3276156493521</v>
      </c>
    </row>
    <row r="4458" spans="1:1" x14ac:dyDescent="0.2">
      <c r="A4458">
        <v>3017.9528269854491</v>
      </c>
    </row>
    <row r="4459" spans="1:1" x14ac:dyDescent="0.2">
      <c r="A4459">
        <v>-4180.383497050032</v>
      </c>
    </row>
    <row r="4460" spans="1:1" x14ac:dyDescent="0.2">
      <c r="A4460">
        <v>2742.2396108940593</v>
      </c>
    </row>
    <row r="4461" spans="1:1" x14ac:dyDescent="0.2">
      <c r="A4461">
        <v>15848.54994802337</v>
      </c>
    </row>
    <row r="4462" spans="1:1" x14ac:dyDescent="0.2">
      <c r="A4462">
        <v>-268.19052447847207</v>
      </c>
    </row>
    <row r="4463" spans="1:1" x14ac:dyDescent="0.2">
      <c r="A4463">
        <v>-10865.551424920559</v>
      </c>
    </row>
    <row r="4464" spans="1:1" x14ac:dyDescent="0.2">
      <c r="A4464">
        <v>-16287.303711229702</v>
      </c>
    </row>
    <row r="4465" spans="1:1" x14ac:dyDescent="0.2">
      <c r="A4465">
        <v>-14032.584082508198</v>
      </c>
    </row>
    <row r="4466" spans="1:1" x14ac:dyDescent="0.2">
      <c r="A4466">
        <v>10286.817887469486</v>
      </c>
    </row>
    <row r="4467" spans="1:1" x14ac:dyDescent="0.2">
      <c r="A4467">
        <v>6050.2754791125481</v>
      </c>
    </row>
    <row r="4468" spans="1:1" x14ac:dyDescent="0.2">
      <c r="A4468">
        <v>4406.3251255296054</v>
      </c>
    </row>
    <row r="4469" spans="1:1" x14ac:dyDescent="0.2">
      <c r="A4469">
        <v>4326.370556030859</v>
      </c>
    </row>
    <row r="4470" spans="1:1" x14ac:dyDescent="0.2">
      <c r="A4470">
        <v>1638.289300115488</v>
      </c>
    </row>
    <row r="4471" spans="1:1" x14ac:dyDescent="0.2">
      <c r="A4471">
        <v>8478.5941782496811</v>
      </c>
    </row>
    <row r="4472" spans="1:1" x14ac:dyDescent="0.2">
      <c r="A4472">
        <v>9276.7852700619696</v>
      </c>
    </row>
    <row r="4473" spans="1:1" x14ac:dyDescent="0.2">
      <c r="A4473">
        <v>8109.2021774953173</v>
      </c>
    </row>
    <row r="4474" spans="1:1" x14ac:dyDescent="0.2">
      <c r="A4474">
        <v>4962.5586937179032</v>
      </c>
    </row>
    <row r="4475" spans="1:1" x14ac:dyDescent="0.2">
      <c r="A4475">
        <v>-8544.287704402348</v>
      </c>
    </row>
    <row r="4476" spans="1:1" x14ac:dyDescent="0.2">
      <c r="A4476">
        <v>4776.9568969382963</v>
      </c>
    </row>
    <row r="4477" spans="1:1" x14ac:dyDescent="0.2">
      <c r="A4477">
        <v>-727.3161506006727</v>
      </c>
    </row>
    <row r="4478" spans="1:1" x14ac:dyDescent="0.2">
      <c r="A4478">
        <v>-11999.159731196647</v>
      </c>
    </row>
    <row r="4479" spans="1:1" x14ac:dyDescent="0.2">
      <c r="A4479">
        <v>12539.306603008416</v>
      </c>
    </row>
    <row r="4480" spans="1:1" x14ac:dyDescent="0.2">
      <c r="A4480">
        <v>-15546.296804915211</v>
      </c>
    </row>
    <row r="4481" spans="1:1" x14ac:dyDescent="0.2">
      <c r="A4481">
        <v>13882.984335871763</v>
      </c>
    </row>
    <row r="4482" spans="1:1" x14ac:dyDescent="0.2">
      <c r="A4482">
        <v>6103.9479999589676</v>
      </c>
    </row>
    <row r="4483" spans="1:1" x14ac:dyDescent="0.2">
      <c r="A4483">
        <v>-3346.2529728607915</v>
      </c>
    </row>
    <row r="4484" spans="1:1" x14ac:dyDescent="0.2">
      <c r="A4484">
        <v>9241.7789994394989</v>
      </c>
    </row>
    <row r="4485" spans="1:1" x14ac:dyDescent="0.2">
      <c r="A4485">
        <v>4754.1191423453565</v>
      </c>
    </row>
    <row r="4486" spans="1:1" x14ac:dyDescent="0.2">
      <c r="A4486">
        <v>-7742.1237777378992</v>
      </c>
    </row>
    <row r="4487" spans="1:1" x14ac:dyDescent="0.2">
      <c r="A4487">
        <v>-7001.2260676833394</v>
      </c>
    </row>
    <row r="4488" spans="1:1" x14ac:dyDescent="0.2">
      <c r="A4488">
        <v>-779.4487010059529</v>
      </c>
    </row>
    <row r="4489" spans="1:1" x14ac:dyDescent="0.2">
      <c r="A4489">
        <v>-816.09595359451487</v>
      </c>
    </row>
    <row r="4490" spans="1:1" x14ac:dyDescent="0.2">
      <c r="A4490">
        <v>5940.9590764902532</v>
      </c>
    </row>
    <row r="4491" spans="1:1" x14ac:dyDescent="0.2">
      <c r="A4491">
        <v>-7809.1326141491882</v>
      </c>
    </row>
    <row r="4492" spans="1:1" x14ac:dyDescent="0.2">
      <c r="A4492">
        <v>6392.5236942815536</v>
      </c>
    </row>
    <row r="4493" spans="1:1" x14ac:dyDescent="0.2">
      <c r="A4493">
        <v>9635.3979966497282</v>
      </c>
    </row>
    <row r="4494" spans="1:1" x14ac:dyDescent="0.2">
      <c r="A4494">
        <v>13673.629985914042</v>
      </c>
    </row>
    <row r="4495" spans="1:1" x14ac:dyDescent="0.2">
      <c r="A4495">
        <v>-1377.3772680356051</v>
      </c>
    </row>
    <row r="4496" spans="1:1" x14ac:dyDescent="0.2">
      <c r="A4496">
        <v>3464.857007833838</v>
      </c>
    </row>
    <row r="4497" spans="1:1" x14ac:dyDescent="0.2">
      <c r="A4497">
        <v>34.124524170474615</v>
      </c>
    </row>
    <row r="4498" spans="1:1" x14ac:dyDescent="0.2">
      <c r="A4498">
        <v>1590.2086724789697</v>
      </c>
    </row>
    <row r="4499" spans="1:1" x14ac:dyDescent="0.2">
      <c r="A4499">
        <v>-22110.54557724495</v>
      </c>
    </row>
    <row r="4500" spans="1:1" x14ac:dyDescent="0.2">
      <c r="A4500">
        <v>5838.162718202424</v>
      </c>
    </row>
    <row r="4501" spans="1:1" x14ac:dyDescent="0.2">
      <c r="A4501">
        <v>1420.9760252767592</v>
      </c>
    </row>
    <row r="4502" spans="1:1" x14ac:dyDescent="0.2">
      <c r="A4502">
        <v>-24.908432550029829</v>
      </c>
    </row>
    <row r="4503" spans="1:1" x14ac:dyDescent="0.2">
      <c r="A4503">
        <v>17533.288206392754</v>
      </c>
    </row>
    <row r="4504" spans="1:1" x14ac:dyDescent="0.2">
      <c r="A4504">
        <v>10590.263524154376</v>
      </c>
    </row>
    <row r="4505" spans="1:1" x14ac:dyDescent="0.2">
      <c r="A4505">
        <v>6537.5297597238678</v>
      </c>
    </row>
    <row r="4506" spans="1:1" x14ac:dyDescent="0.2">
      <c r="A4506">
        <v>4773.7115633058129</v>
      </c>
    </row>
    <row r="4507" spans="1:1" x14ac:dyDescent="0.2">
      <c r="A4507">
        <v>1863.2681608553103</v>
      </c>
    </row>
    <row r="4508" spans="1:1" x14ac:dyDescent="0.2">
      <c r="A4508">
        <v>9712.6694819926633</v>
      </c>
    </row>
    <row r="4509" spans="1:1" x14ac:dyDescent="0.2">
      <c r="A4509">
        <v>2876.2324974015064</v>
      </c>
    </row>
    <row r="4510" spans="1:1" x14ac:dyDescent="0.2">
      <c r="A4510">
        <v>17628.344428345765</v>
      </c>
    </row>
    <row r="4511" spans="1:1" x14ac:dyDescent="0.2">
      <c r="A4511">
        <v>8873.3652792689973</v>
      </c>
    </row>
    <row r="4512" spans="1:1" x14ac:dyDescent="0.2">
      <c r="A4512">
        <v>13617.038611434778</v>
      </c>
    </row>
    <row r="4513" spans="1:1" x14ac:dyDescent="0.2">
      <c r="A4513">
        <v>20154.475316982483</v>
      </c>
    </row>
    <row r="4514" spans="1:1" x14ac:dyDescent="0.2">
      <c r="A4514">
        <v>3610.7900315291772</v>
      </c>
    </row>
    <row r="4515" spans="1:1" x14ac:dyDescent="0.2">
      <c r="A4515">
        <v>1319.8563612577855</v>
      </c>
    </row>
    <row r="4516" spans="1:1" x14ac:dyDescent="0.2">
      <c r="A4516">
        <v>6283.7261903767358</v>
      </c>
    </row>
    <row r="4517" spans="1:1" x14ac:dyDescent="0.2">
      <c r="A4517">
        <v>384.9939423307078</v>
      </c>
    </row>
    <row r="4518" spans="1:1" x14ac:dyDescent="0.2">
      <c r="A4518">
        <v>2452.156620307971</v>
      </c>
    </row>
    <row r="4519" spans="1:1" x14ac:dyDescent="0.2">
      <c r="A4519">
        <v>1444.7304894026602</v>
      </c>
    </row>
    <row r="4520" spans="1:1" x14ac:dyDescent="0.2">
      <c r="A4520">
        <v>-24474.690247547289</v>
      </c>
    </row>
    <row r="4521" spans="1:1" x14ac:dyDescent="0.2">
      <c r="A4521">
        <v>3436.4605421903543</v>
      </c>
    </row>
    <row r="4522" spans="1:1" x14ac:dyDescent="0.2">
      <c r="A4522">
        <v>-6130.0227519484179</v>
      </c>
    </row>
    <row r="4523" spans="1:1" x14ac:dyDescent="0.2">
      <c r="A4523">
        <v>-1294.1724272588326</v>
      </c>
    </row>
    <row r="4524" spans="1:1" x14ac:dyDescent="0.2">
      <c r="A4524">
        <v>-11500.679486864479</v>
      </c>
    </row>
    <row r="4525" spans="1:1" x14ac:dyDescent="0.2">
      <c r="A4525">
        <v>-15610.9589954408</v>
      </c>
    </row>
    <row r="4526" spans="1:1" x14ac:dyDescent="0.2">
      <c r="A4526">
        <v>-1812.9272980259848</v>
      </c>
    </row>
    <row r="4527" spans="1:1" x14ac:dyDescent="0.2">
      <c r="A4527">
        <v>9267.9126327503764</v>
      </c>
    </row>
    <row r="4528" spans="1:1" x14ac:dyDescent="0.2">
      <c r="A4528">
        <v>-19614.604180690047</v>
      </c>
    </row>
    <row r="4529" spans="1:1" x14ac:dyDescent="0.2">
      <c r="A4529">
        <v>3958.7514595290995</v>
      </c>
    </row>
    <row r="4530" spans="1:1" x14ac:dyDescent="0.2">
      <c r="A4530">
        <v>4989.834734132397</v>
      </c>
    </row>
    <row r="4531" spans="1:1" x14ac:dyDescent="0.2">
      <c r="A4531">
        <v>-8042.1418146221258</v>
      </c>
    </row>
    <row r="4532" spans="1:1" x14ac:dyDescent="0.2">
      <c r="A4532">
        <v>6946.3382338823139</v>
      </c>
    </row>
    <row r="4533" spans="1:1" x14ac:dyDescent="0.2">
      <c r="A4533">
        <v>5007.8656331601669</v>
      </c>
    </row>
    <row r="4534" spans="1:1" x14ac:dyDescent="0.2">
      <c r="A4534">
        <v>-727.33312847133493</v>
      </c>
    </row>
    <row r="4535" spans="1:1" x14ac:dyDescent="0.2">
      <c r="A4535">
        <v>5457.7891227915534</v>
      </c>
    </row>
    <row r="4536" spans="1:1" x14ac:dyDescent="0.2">
      <c r="A4536">
        <v>8034.7244070973247</v>
      </c>
    </row>
    <row r="4537" spans="1:1" x14ac:dyDescent="0.2">
      <c r="A4537">
        <v>5702.814957804163</v>
      </c>
    </row>
    <row r="4538" spans="1:1" x14ac:dyDescent="0.2">
      <c r="A4538">
        <v>10980.070720817166</v>
      </c>
    </row>
    <row r="4539" spans="1:1" x14ac:dyDescent="0.2">
      <c r="A4539">
        <v>-6626.0471305288083</v>
      </c>
    </row>
    <row r="4540" spans="1:1" x14ac:dyDescent="0.2">
      <c r="A4540">
        <v>-18824.841699568235</v>
      </c>
    </row>
    <row r="4541" spans="1:1" x14ac:dyDescent="0.2">
      <c r="A4541">
        <v>682.47392471821513</v>
      </c>
    </row>
    <row r="4542" spans="1:1" x14ac:dyDescent="0.2">
      <c r="A4542">
        <v>-738.64408302895026</v>
      </c>
    </row>
    <row r="4543" spans="1:1" x14ac:dyDescent="0.2">
      <c r="A4543">
        <v>-7289.4995756577991</v>
      </c>
    </row>
    <row r="4544" spans="1:1" x14ac:dyDescent="0.2">
      <c r="A4544">
        <v>11432.725619540579</v>
      </c>
    </row>
    <row r="4545" spans="1:1" x14ac:dyDescent="0.2">
      <c r="A4545">
        <v>16581.244705052697</v>
      </c>
    </row>
    <row r="4546" spans="1:1" x14ac:dyDescent="0.2">
      <c r="A4546">
        <v>1459.3546787845553</v>
      </c>
    </row>
    <row r="4547" spans="1:1" x14ac:dyDescent="0.2">
      <c r="A4547">
        <v>16933.447142828227</v>
      </c>
    </row>
    <row r="4548" spans="1:1" x14ac:dyDescent="0.2">
      <c r="A4548">
        <v>18277.559931584721</v>
      </c>
    </row>
    <row r="4549" spans="1:1" x14ac:dyDescent="0.2">
      <c r="A4549">
        <v>-13361.739989541238</v>
      </c>
    </row>
    <row r="4550" spans="1:1" x14ac:dyDescent="0.2">
      <c r="A4550">
        <v>-3148.2449887983094</v>
      </c>
    </row>
    <row r="4551" spans="1:1" x14ac:dyDescent="0.2">
      <c r="A4551">
        <v>1137.9399168451782</v>
      </c>
    </row>
    <row r="4552" spans="1:1" x14ac:dyDescent="0.2">
      <c r="A4552">
        <v>5414.5234906022961</v>
      </c>
    </row>
    <row r="4553" spans="1:1" x14ac:dyDescent="0.2">
      <c r="A4553">
        <v>-1284.8109356915229</v>
      </c>
    </row>
    <row r="4554" spans="1:1" x14ac:dyDescent="0.2">
      <c r="A4554">
        <v>3251.8311906374292</v>
      </c>
    </row>
    <row r="4555" spans="1:1" x14ac:dyDescent="0.2">
      <c r="A4555">
        <v>7622.5539481974556</v>
      </c>
    </row>
    <row r="4556" spans="1:1" x14ac:dyDescent="0.2">
      <c r="A4556">
        <v>22060.954018300457</v>
      </c>
    </row>
    <row r="4557" spans="1:1" x14ac:dyDescent="0.2">
      <c r="A4557">
        <v>11763.975169637823</v>
      </c>
    </row>
    <row r="4558" spans="1:1" x14ac:dyDescent="0.2">
      <c r="A4558">
        <v>-6220.990921268356</v>
      </c>
    </row>
    <row r="4559" spans="1:1" x14ac:dyDescent="0.2">
      <c r="A4559">
        <v>5495.1507729516889</v>
      </c>
    </row>
    <row r="4560" spans="1:1" x14ac:dyDescent="0.2">
      <c r="A4560">
        <v>-9715.0950634857873</v>
      </c>
    </row>
    <row r="4561" spans="1:1" x14ac:dyDescent="0.2">
      <c r="A4561">
        <v>-1030.5114317677217</v>
      </c>
    </row>
    <row r="4562" spans="1:1" x14ac:dyDescent="0.2">
      <c r="A4562">
        <v>-23045.738112099934</v>
      </c>
    </row>
    <row r="4563" spans="1:1" x14ac:dyDescent="0.2">
      <c r="A4563">
        <v>-15503.055816587759</v>
      </c>
    </row>
    <row r="4564" spans="1:1" x14ac:dyDescent="0.2">
      <c r="A4564">
        <v>19835.872126027389</v>
      </c>
    </row>
    <row r="4565" spans="1:1" x14ac:dyDescent="0.2">
      <c r="A4565">
        <v>-13153.745996111451</v>
      </c>
    </row>
    <row r="4566" spans="1:1" x14ac:dyDescent="0.2">
      <c r="A4566">
        <v>11975.54953761393</v>
      </c>
    </row>
    <row r="4567" spans="1:1" x14ac:dyDescent="0.2">
      <c r="A4567">
        <v>17002.916726553231</v>
      </c>
    </row>
    <row r="4568" spans="1:1" x14ac:dyDescent="0.2">
      <c r="A4568">
        <v>-476.96318667280138</v>
      </c>
    </row>
    <row r="4569" spans="1:1" x14ac:dyDescent="0.2">
      <c r="A4569">
        <v>10880.640451255924</v>
      </c>
    </row>
    <row r="4570" spans="1:1" x14ac:dyDescent="0.2">
      <c r="A4570">
        <v>5623.3120391764969</v>
      </c>
    </row>
    <row r="4571" spans="1:1" x14ac:dyDescent="0.2">
      <c r="A4571">
        <v>-8660.1246739310445</v>
      </c>
    </row>
    <row r="4572" spans="1:1" x14ac:dyDescent="0.2">
      <c r="A4572">
        <v>2321.0110465100588</v>
      </c>
    </row>
    <row r="4573" spans="1:1" x14ac:dyDescent="0.2">
      <c r="A4573">
        <v>-1614.2791349412</v>
      </c>
    </row>
    <row r="4574" spans="1:1" x14ac:dyDescent="0.2">
      <c r="A4574">
        <v>2878.4597833166481</v>
      </c>
    </row>
    <row r="4575" spans="1:1" x14ac:dyDescent="0.2">
      <c r="A4575">
        <v>8039.3211736170342</v>
      </c>
    </row>
    <row r="4576" spans="1:1" x14ac:dyDescent="0.2">
      <c r="A4576">
        <v>12513.579229707073</v>
      </c>
    </row>
    <row r="4577" spans="1:1" x14ac:dyDescent="0.2">
      <c r="A4577">
        <v>2575.1729201260605</v>
      </c>
    </row>
    <row r="4578" spans="1:1" x14ac:dyDescent="0.2">
      <c r="A4578">
        <v>8301.9425408433599</v>
      </c>
    </row>
    <row r="4579" spans="1:1" x14ac:dyDescent="0.2">
      <c r="A4579">
        <v>-3753.5870211394213</v>
      </c>
    </row>
    <row r="4580" spans="1:1" x14ac:dyDescent="0.2">
      <c r="A4580">
        <v>969.20811595502892</v>
      </c>
    </row>
    <row r="4581" spans="1:1" x14ac:dyDescent="0.2">
      <c r="A4581">
        <v>4618.2995605290635</v>
      </c>
    </row>
    <row r="4582" spans="1:1" x14ac:dyDescent="0.2">
      <c r="A4582">
        <v>13467.145301369834</v>
      </c>
    </row>
    <row r="4583" spans="1:1" x14ac:dyDescent="0.2">
      <c r="A4583">
        <v>5621.7177999473643</v>
      </c>
    </row>
    <row r="4584" spans="1:1" x14ac:dyDescent="0.2">
      <c r="A4584">
        <v>9596.2374538521981</v>
      </c>
    </row>
    <row r="4585" spans="1:1" x14ac:dyDescent="0.2">
      <c r="A4585">
        <v>3833.8221238059632</v>
      </c>
    </row>
    <row r="4586" spans="1:1" x14ac:dyDescent="0.2">
      <c r="A4586">
        <v>-2923.1968521963281</v>
      </c>
    </row>
    <row r="4587" spans="1:1" x14ac:dyDescent="0.2">
      <c r="A4587">
        <v>-7154.8907373921247</v>
      </c>
    </row>
    <row r="4588" spans="1:1" x14ac:dyDescent="0.2">
      <c r="A4588">
        <v>4123.3575977411238</v>
      </c>
    </row>
    <row r="4589" spans="1:1" x14ac:dyDescent="0.2">
      <c r="A4589">
        <v>2779.0497402004548</v>
      </c>
    </row>
    <row r="4590" spans="1:1" x14ac:dyDescent="0.2">
      <c r="A4590">
        <v>-7327.4284737989074</v>
      </c>
    </row>
    <row r="4591" spans="1:1" x14ac:dyDescent="0.2">
      <c r="A4591">
        <v>-3468.5390784779447</v>
      </c>
    </row>
    <row r="4592" spans="1:1" x14ac:dyDescent="0.2">
      <c r="A4592">
        <v>1417.3109760587104</v>
      </c>
    </row>
    <row r="4593" spans="1:1" x14ac:dyDescent="0.2">
      <c r="A4593">
        <v>-4094.4450001082732</v>
      </c>
    </row>
    <row r="4594" spans="1:1" x14ac:dyDescent="0.2">
      <c r="A4594">
        <v>5145.8925765061285</v>
      </c>
    </row>
    <row r="4595" spans="1:1" x14ac:dyDescent="0.2">
      <c r="A4595">
        <v>-9649.8100717627967</v>
      </c>
    </row>
    <row r="4596" spans="1:1" x14ac:dyDescent="0.2">
      <c r="A4596">
        <v>-8943.1944212493254</v>
      </c>
    </row>
    <row r="4597" spans="1:1" x14ac:dyDescent="0.2">
      <c r="A4597">
        <v>-11253.72416845549</v>
      </c>
    </row>
    <row r="4598" spans="1:1" x14ac:dyDescent="0.2">
      <c r="A4598">
        <v>1388.9107745708607</v>
      </c>
    </row>
    <row r="4599" spans="1:1" x14ac:dyDescent="0.2">
      <c r="A4599">
        <v>5228.0159538230801</v>
      </c>
    </row>
    <row r="4600" spans="1:1" x14ac:dyDescent="0.2">
      <c r="A4600">
        <v>-14410.483588404371</v>
      </c>
    </row>
    <row r="4601" spans="1:1" x14ac:dyDescent="0.2">
      <c r="A4601">
        <v>5509.6137739332771</v>
      </c>
    </row>
    <row r="4602" spans="1:1" x14ac:dyDescent="0.2">
      <c r="A4602">
        <v>-8496.9834270637366</v>
      </c>
    </row>
    <row r="4603" spans="1:1" x14ac:dyDescent="0.2">
      <c r="A4603">
        <v>-6708.8980864740151</v>
      </c>
    </row>
    <row r="4604" spans="1:1" x14ac:dyDescent="0.2">
      <c r="A4604">
        <v>2002.8317865642603</v>
      </c>
    </row>
    <row r="4605" spans="1:1" x14ac:dyDescent="0.2">
      <c r="A4605">
        <v>-4632.8143765929563</v>
      </c>
    </row>
    <row r="4606" spans="1:1" x14ac:dyDescent="0.2">
      <c r="A4606">
        <v>-9967.6746423756995</v>
      </c>
    </row>
    <row r="4607" spans="1:1" x14ac:dyDescent="0.2">
      <c r="A4607">
        <v>-21186.129433883121</v>
      </c>
    </row>
    <row r="4608" spans="1:1" x14ac:dyDescent="0.2">
      <c r="A4608">
        <v>4177.5312877668184</v>
      </c>
    </row>
    <row r="4609" spans="1:1" x14ac:dyDescent="0.2">
      <c r="A4609">
        <v>16698.332663534733</v>
      </c>
    </row>
    <row r="4610" spans="1:1" x14ac:dyDescent="0.2">
      <c r="A4610">
        <v>5536.0675656606327</v>
      </c>
    </row>
    <row r="4611" spans="1:1" x14ac:dyDescent="0.2">
      <c r="A4611">
        <v>5989.6785855322378</v>
      </c>
    </row>
    <row r="4612" spans="1:1" x14ac:dyDescent="0.2">
      <c r="A4612">
        <v>-1934.3795120917785</v>
      </c>
    </row>
    <row r="4613" spans="1:1" x14ac:dyDescent="0.2">
      <c r="A4613">
        <v>-9644.6411823664093</v>
      </c>
    </row>
    <row r="4614" spans="1:1" x14ac:dyDescent="0.2">
      <c r="A4614">
        <v>-21502.394486225327</v>
      </c>
    </row>
    <row r="4615" spans="1:1" x14ac:dyDescent="0.2">
      <c r="A4615">
        <v>9684.3520633566077</v>
      </c>
    </row>
    <row r="4616" spans="1:1" x14ac:dyDescent="0.2">
      <c r="A4616">
        <v>-13371.591468024912</v>
      </c>
    </row>
    <row r="4617" spans="1:1" x14ac:dyDescent="0.2">
      <c r="A4617">
        <v>7058.0122914944077</v>
      </c>
    </row>
    <row r="4618" spans="1:1" x14ac:dyDescent="0.2">
      <c r="A4618">
        <v>3924.2874134621234</v>
      </c>
    </row>
    <row r="4619" spans="1:1" x14ac:dyDescent="0.2">
      <c r="A4619">
        <v>14102.111126571021</v>
      </c>
    </row>
    <row r="4620" spans="1:1" x14ac:dyDescent="0.2">
      <c r="A4620">
        <v>-8997.1557043775101</v>
      </c>
    </row>
    <row r="4621" spans="1:1" x14ac:dyDescent="0.2">
      <c r="A4621">
        <v>8454.7730077071465</v>
      </c>
    </row>
    <row r="4622" spans="1:1" x14ac:dyDescent="0.2">
      <c r="A4622">
        <v>-9054.0589677139069</v>
      </c>
    </row>
    <row r="4623" spans="1:1" x14ac:dyDescent="0.2">
      <c r="A4623">
        <v>-3651.7374419527478</v>
      </c>
    </row>
    <row r="4624" spans="1:1" x14ac:dyDescent="0.2">
      <c r="A4624">
        <v>5495.0496404716687</v>
      </c>
    </row>
    <row r="4625" spans="1:1" x14ac:dyDescent="0.2">
      <c r="A4625">
        <v>4862.6884938177245</v>
      </c>
    </row>
    <row r="4626" spans="1:1" x14ac:dyDescent="0.2">
      <c r="A4626">
        <v>5695.1503577295516</v>
      </c>
    </row>
    <row r="4627" spans="1:1" x14ac:dyDescent="0.2">
      <c r="A4627">
        <v>3044.2289264932915</v>
      </c>
    </row>
    <row r="4628" spans="1:1" x14ac:dyDescent="0.2">
      <c r="A4628">
        <v>-6266.6771447947249</v>
      </c>
    </row>
    <row r="4629" spans="1:1" x14ac:dyDescent="0.2">
      <c r="A4629">
        <v>-3085.2200782381697</v>
      </c>
    </row>
    <row r="4630" spans="1:1" x14ac:dyDescent="0.2">
      <c r="A4630">
        <v>3434.4698362308263</v>
      </c>
    </row>
    <row r="4631" spans="1:1" x14ac:dyDescent="0.2">
      <c r="A4631">
        <v>9869.3681917374779</v>
      </c>
    </row>
    <row r="4632" spans="1:1" x14ac:dyDescent="0.2">
      <c r="A4632">
        <v>12542.11540185193</v>
      </c>
    </row>
    <row r="4633" spans="1:1" x14ac:dyDescent="0.2">
      <c r="A4633">
        <v>-3903.9560254320095</v>
      </c>
    </row>
    <row r="4634" spans="1:1" x14ac:dyDescent="0.2">
      <c r="A4634">
        <v>-3858.3160835133749</v>
      </c>
    </row>
    <row r="4635" spans="1:1" x14ac:dyDescent="0.2">
      <c r="A4635">
        <v>-5016.3744910516543</v>
      </c>
    </row>
    <row r="4636" spans="1:1" x14ac:dyDescent="0.2">
      <c r="A4636">
        <v>14718.930692995753</v>
      </c>
    </row>
    <row r="4637" spans="1:1" x14ac:dyDescent="0.2">
      <c r="A4637">
        <v>10390.704305970226</v>
      </c>
    </row>
    <row r="4638" spans="1:1" x14ac:dyDescent="0.2">
      <c r="A4638">
        <v>6867.2346725762764</v>
      </c>
    </row>
    <row r="4639" spans="1:1" x14ac:dyDescent="0.2">
      <c r="A4639">
        <v>4276.7037221610517</v>
      </c>
    </row>
    <row r="4640" spans="1:1" x14ac:dyDescent="0.2">
      <c r="A4640">
        <v>290.10705472732661</v>
      </c>
    </row>
    <row r="4641" spans="1:1" x14ac:dyDescent="0.2">
      <c r="A4641">
        <v>-21488.006183187652</v>
      </c>
    </row>
    <row r="4642" spans="1:1" x14ac:dyDescent="0.2">
      <c r="A4642">
        <v>10921.989837020286</v>
      </c>
    </row>
    <row r="4643" spans="1:1" x14ac:dyDescent="0.2">
      <c r="A4643">
        <v>-15244.344849641842</v>
      </c>
    </row>
    <row r="4644" spans="1:1" x14ac:dyDescent="0.2">
      <c r="A4644">
        <v>-7467.6134529541014</v>
      </c>
    </row>
    <row r="4645" spans="1:1" x14ac:dyDescent="0.2">
      <c r="A4645">
        <v>-13437.113466980751</v>
      </c>
    </row>
    <row r="4646" spans="1:1" x14ac:dyDescent="0.2">
      <c r="A4646">
        <v>-5464.4057714343653</v>
      </c>
    </row>
    <row r="4647" spans="1:1" x14ac:dyDescent="0.2">
      <c r="A4647">
        <v>-9543.7839136344846</v>
      </c>
    </row>
    <row r="4648" spans="1:1" x14ac:dyDescent="0.2">
      <c r="A4648">
        <v>-68.433928498445312</v>
      </c>
    </row>
    <row r="4649" spans="1:1" x14ac:dyDescent="0.2">
      <c r="A4649">
        <v>-746.58019183168653</v>
      </c>
    </row>
    <row r="4650" spans="1:1" x14ac:dyDescent="0.2">
      <c r="A4650">
        <v>5550.4440066866227</v>
      </c>
    </row>
    <row r="4651" spans="1:1" x14ac:dyDescent="0.2">
      <c r="A4651">
        <v>15942.897777369391</v>
      </c>
    </row>
    <row r="4652" spans="1:1" x14ac:dyDescent="0.2">
      <c r="A4652">
        <v>-20373.309334446822</v>
      </c>
    </row>
    <row r="4653" spans="1:1" x14ac:dyDescent="0.2">
      <c r="A4653">
        <v>-2332.6664608797873</v>
      </c>
    </row>
    <row r="4654" spans="1:1" x14ac:dyDescent="0.2">
      <c r="A4654">
        <v>5591.5731913881027</v>
      </c>
    </row>
    <row r="4655" spans="1:1" x14ac:dyDescent="0.2">
      <c r="A4655">
        <v>10273.349418485304</v>
      </c>
    </row>
    <row r="4656" spans="1:1" x14ac:dyDescent="0.2">
      <c r="A4656">
        <v>1153.9365747746197</v>
      </c>
    </row>
    <row r="4657" spans="1:1" x14ac:dyDescent="0.2">
      <c r="A4657">
        <v>3516.8331921024364</v>
      </c>
    </row>
    <row r="4658" spans="1:1" x14ac:dyDescent="0.2">
      <c r="A4658">
        <v>7612.3086796113639</v>
      </c>
    </row>
    <row r="4659" spans="1:1" x14ac:dyDescent="0.2">
      <c r="A4659">
        <v>5394.8384091752232</v>
      </c>
    </row>
    <row r="4660" spans="1:1" x14ac:dyDescent="0.2">
      <c r="A4660">
        <v>5333.6374421816727</v>
      </c>
    </row>
    <row r="4661" spans="1:1" x14ac:dyDescent="0.2">
      <c r="A4661">
        <v>7444.2543349651387</v>
      </c>
    </row>
    <row r="4662" spans="1:1" x14ac:dyDescent="0.2">
      <c r="A4662">
        <v>-7178.1173221516656</v>
      </c>
    </row>
    <row r="4663" spans="1:1" x14ac:dyDescent="0.2">
      <c r="A4663">
        <v>5994.3688862381969</v>
      </c>
    </row>
    <row r="4664" spans="1:1" x14ac:dyDescent="0.2">
      <c r="A4664">
        <v>-318.02380052485387</v>
      </c>
    </row>
    <row r="4665" spans="1:1" x14ac:dyDescent="0.2">
      <c r="A4665">
        <v>5526.8427165816393</v>
      </c>
    </row>
    <row r="4666" spans="1:1" x14ac:dyDescent="0.2">
      <c r="A4666">
        <v>-1795.7379862762173</v>
      </c>
    </row>
    <row r="4667" spans="1:1" x14ac:dyDescent="0.2">
      <c r="A4667">
        <v>-12153.773564085219</v>
      </c>
    </row>
    <row r="4668" spans="1:1" x14ac:dyDescent="0.2">
      <c r="A4668">
        <v>2952.3287167436793</v>
      </c>
    </row>
    <row r="4669" spans="1:1" x14ac:dyDescent="0.2">
      <c r="A4669">
        <v>-9345.0731196465786</v>
      </c>
    </row>
    <row r="4670" spans="1:1" x14ac:dyDescent="0.2">
      <c r="A4670">
        <v>15647.782475047919</v>
      </c>
    </row>
    <row r="4671" spans="1:1" x14ac:dyDescent="0.2">
      <c r="A4671">
        <v>2847.0328846295597</v>
      </c>
    </row>
    <row r="4672" spans="1:1" x14ac:dyDescent="0.2">
      <c r="A4672">
        <v>7499.5671856225526</v>
      </c>
    </row>
    <row r="4673" spans="1:1" x14ac:dyDescent="0.2">
      <c r="A4673">
        <v>-37544.008092477918</v>
      </c>
    </row>
    <row r="4674" spans="1:1" x14ac:dyDescent="0.2">
      <c r="A4674">
        <v>915.08830531942658</v>
      </c>
    </row>
    <row r="4675" spans="1:1" x14ac:dyDescent="0.2">
      <c r="A4675">
        <v>18826.882616971343</v>
      </c>
    </row>
    <row r="4676" spans="1:1" x14ac:dyDescent="0.2">
      <c r="A4676">
        <v>2339.6683400989277</v>
      </c>
    </row>
    <row r="4677" spans="1:1" x14ac:dyDescent="0.2">
      <c r="A4677">
        <v>11920.282916577271</v>
      </c>
    </row>
    <row r="4678" spans="1:1" x14ac:dyDescent="0.2">
      <c r="A4678">
        <v>8358.8203848967096</v>
      </c>
    </row>
    <row r="4679" spans="1:1" x14ac:dyDescent="0.2">
      <c r="A4679">
        <v>-10371.181390999933</v>
      </c>
    </row>
    <row r="4680" spans="1:1" x14ac:dyDescent="0.2">
      <c r="A4680">
        <v>9840.5869629386289</v>
      </c>
    </row>
    <row r="4681" spans="1:1" x14ac:dyDescent="0.2">
      <c r="A4681">
        <v>3733.1824363850756</v>
      </c>
    </row>
    <row r="4682" spans="1:1" x14ac:dyDescent="0.2">
      <c r="A4682">
        <v>701.79472925534355</v>
      </c>
    </row>
    <row r="4683" spans="1:1" x14ac:dyDescent="0.2">
      <c r="A4683">
        <v>6318.5340526365908</v>
      </c>
    </row>
    <row r="4684" spans="1:1" x14ac:dyDescent="0.2">
      <c r="A4684">
        <v>8191.5950106470555</v>
      </c>
    </row>
    <row r="4685" spans="1:1" x14ac:dyDescent="0.2">
      <c r="A4685">
        <v>111.27908423222834</v>
      </c>
    </row>
    <row r="4686" spans="1:1" x14ac:dyDescent="0.2">
      <c r="A4686">
        <v>1858.8168570555863</v>
      </c>
    </row>
    <row r="4687" spans="1:1" x14ac:dyDescent="0.2">
      <c r="A4687">
        <v>19185.263645445259</v>
      </c>
    </row>
    <row r="4688" spans="1:1" x14ac:dyDescent="0.2">
      <c r="A4688">
        <v>22331.399484482594</v>
      </c>
    </row>
    <row r="4689" spans="1:1" x14ac:dyDescent="0.2">
      <c r="A4689">
        <v>4385.5224682907283</v>
      </c>
    </row>
    <row r="4690" spans="1:1" x14ac:dyDescent="0.2">
      <c r="A4690">
        <v>4173.2407343578234</v>
      </c>
    </row>
    <row r="4691" spans="1:1" x14ac:dyDescent="0.2">
      <c r="A4691">
        <v>16755.683043230791</v>
      </c>
    </row>
    <row r="4692" spans="1:1" x14ac:dyDescent="0.2">
      <c r="A4692">
        <v>4023.9017872054828</v>
      </c>
    </row>
    <row r="4693" spans="1:1" x14ac:dyDescent="0.2">
      <c r="A4693">
        <v>-1512.8318237029016</v>
      </c>
    </row>
    <row r="4694" spans="1:1" x14ac:dyDescent="0.2">
      <c r="A4694">
        <v>5117.1636467055068</v>
      </c>
    </row>
    <row r="4695" spans="1:1" x14ac:dyDescent="0.2">
      <c r="A4695">
        <v>2483.9869166358258</v>
      </c>
    </row>
    <row r="4696" spans="1:1" x14ac:dyDescent="0.2">
      <c r="A4696">
        <v>2890.8766543781385</v>
      </c>
    </row>
    <row r="4697" spans="1:1" x14ac:dyDescent="0.2">
      <c r="A4697">
        <v>-5572.8731754096225</v>
      </c>
    </row>
    <row r="4698" spans="1:1" x14ac:dyDescent="0.2">
      <c r="A4698">
        <v>17777.736758817016</v>
      </c>
    </row>
    <row r="4699" spans="1:1" x14ac:dyDescent="0.2">
      <c r="A4699">
        <v>2277.3068646300817</v>
      </c>
    </row>
    <row r="4700" spans="1:1" x14ac:dyDescent="0.2">
      <c r="A4700">
        <v>154.98578274442116</v>
      </c>
    </row>
    <row r="4701" spans="1:1" x14ac:dyDescent="0.2">
      <c r="A4701">
        <v>-14907.909168189741</v>
      </c>
    </row>
    <row r="4702" spans="1:1" x14ac:dyDescent="0.2">
      <c r="A4702">
        <v>2382.4320805075695</v>
      </c>
    </row>
    <row r="4703" spans="1:1" x14ac:dyDescent="0.2">
      <c r="A4703">
        <v>15152.129549885227</v>
      </c>
    </row>
    <row r="4704" spans="1:1" x14ac:dyDescent="0.2">
      <c r="A4704">
        <v>-7039.7855744039698</v>
      </c>
    </row>
    <row r="4705" spans="1:1" x14ac:dyDescent="0.2">
      <c r="A4705">
        <v>-1748.3787317774259</v>
      </c>
    </row>
    <row r="4706" spans="1:1" x14ac:dyDescent="0.2">
      <c r="A4706">
        <v>8283.3545317167882</v>
      </c>
    </row>
    <row r="4707" spans="1:1" x14ac:dyDescent="0.2">
      <c r="A4707">
        <v>8376.1539309478248</v>
      </c>
    </row>
    <row r="4708" spans="1:1" x14ac:dyDescent="0.2">
      <c r="A4708">
        <v>-23617.866907066957</v>
      </c>
    </row>
    <row r="4709" spans="1:1" x14ac:dyDescent="0.2">
      <c r="A4709">
        <v>11303.57933459332</v>
      </c>
    </row>
    <row r="4710" spans="1:1" x14ac:dyDescent="0.2">
      <c r="A4710">
        <v>14948.458636992524</v>
      </c>
    </row>
    <row r="4711" spans="1:1" x14ac:dyDescent="0.2">
      <c r="A4711">
        <v>-4245.4238098046917</v>
      </c>
    </row>
    <row r="4712" spans="1:1" x14ac:dyDescent="0.2">
      <c r="A4712">
        <v>5288.1387397828512</v>
      </c>
    </row>
    <row r="4713" spans="1:1" x14ac:dyDescent="0.2">
      <c r="A4713">
        <v>7980.4519270941091</v>
      </c>
    </row>
    <row r="4714" spans="1:1" x14ac:dyDescent="0.2">
      <c r="A4714">
        <v>-444.23534741383628</v>
      </c>
    </row>
    <row r="4715" spans="1:1" x14ac:dyDescent="0.2">
      <c r="A4715">
        <v>6676.3492754406179</v>
      </c>
    </row>
    <row r="4716" spans="1:1" x14ac:dyDescent="0.2">
      <c r="A4716">
        <v>5260.5595698730322</v>
      </c>
    </row>
    <row r="4717" spans="1:1" x14ac:dyDescent="0.2">
      <c r="A4717">
        <v>16888.842732530087</v>
      </c>
    </row>
    <row r="4718" spans="1:1" x14ac:dyDescent="0.2">
      <c r="A4718">
        <v>18180.655135797278</v>
      </c>
    </row>
    <row r="4719" spans="1:1" x14ac:dyDescent="0.2">
      <c r="A4719">
        <v>3666.2309165928164</v>
      </c>
    </row>
    <row r="4720" spans="1:1" x14ac:dyDescent="0.2">
      <c r="A4720">
        <v>-453.8774279099307</v>
      </c>
    </row>
    <row r="4721" spans="1:1" x14ac:dyDescent="0.2">
      <c r="A4721">
        <v>2739.860415650357</v>
      </c>
    </row>
    <row r="4722" spans="1:1" x14ac:dyDescent="0.2">
      <c r="A4722">
        <v>7204.5672956495546</v>
      </c>
    </row>
    <row r="4723" spans="1:1" x14ac:dyDescent="0.2">
      <c r="A4723">
        <v>-130.85170453491446</v>
      </c>
    </row>
    <row r="4724" spans="1:1" x14ac:dyDescent="0.2">
      <c r="A4724">
        <v>14556.135548105987</v>
      </c>
    </row>
    <row r="4725" spans="1:1" x14ac:dyDescent="0.2">
      <c r="A4725">
        <v>4213.1712148601073</v>
      </c>
    </row>
    <row r="4726" spans="1:1" x14ac:dyDescent="0.2">
      <c r="A4726">
        <v>-9646.4995208996697</v>
      </c>
    </row>
    <row r="4727" spans="1:1" x14ac:dyDescent="0.2">
      <c r="A4727">
        <v>8091.429239019868</v>
      </c>
    </row>
    <row r="4728" spans="1:1" x14ac:dyDescent="0.2">
      <c r="A4728">
        <v>-4142.8562841465464</v>
      </c>
    </row>
    <row r="4729" spans="1:1" x14ac:dyDescent="0.2">
      <c r="A4729">
        <v>-4279.9991634354519</v>
      </c>
    </row>
    <row r="4730" spans="1:1" x14ac:dyDescent="0.2">
      <c r="A4730">
        <v>-1491.4237363006105</v>
      </c>
    </row>
    <row r="4731" spans="1:1" x14ac:dyDescent="0.2">
      <c r="A4731">
        <v>-9223.9447773418215</v>
      </c>
    </row>
    <row r="4732" spans="1:1" x14ac:dyDescent="0.2">
      <c r="A4732">
        <v>11143.135998291458</v>
      </c>
    </row>
    <row r="4733" spans="1:1" x14ac:dyDescent="0.2">
      <c r="A4733">
        <v>16271.84413727856</v>
      </c>
    </row>
    <row r="4734" spans="1:1" x14ac:dyDescent="0.2">
      <c r="A4734">
        <v>5771.529234235044</v>
      </c>
    </row>
    <row r="4735" spans="1:1" x14ac:dyDescent="0.2">
      <c r="A4735">
        <v>6620.6344261833001</v>
      </c>
    </row>
    <row r="4736" spans="1:1" x14ac:dyDescent="0.2">
      <c r="A4736">
        <v>-15104.152997767145</v>
      </c>
    </row>
    <row r="4737" spans="1:1" x14ac:dyDescent="0.2">
      <c r="A4737">
        <v>-12296.501969848876</v>
      </c>
    </row>
    <row r="4738" spans="1:1" x14ac:dyDescent="0.2">
      <c r="A4738">
        <v>4091.8715150028002</v>
      </c>
    </row>
    <row r="4739" spans="1:1" x14ac:dyDescent="0.2">
      <c r="A4739">
        <v>-130.81612447538646</v>
      </c>
    </row>
    <row r="4740" spans="1:1" x14ac:dyDescent="0.2">
      <c r="A4740">
        <v>12523.25686688011</v>
      </c>
    </row>
    <row r="4741" spans="1:1" x14ac:dyDescent="0.2">
      <c r="A4741">
        <v>6755.2687039322336</v>
      </c>
    </row>
    <row r="4742" spans="1:1" x14ac:dyDescent="0.2">
      <c r="A4742">
        <v>-5270.037696139625</v>
      </c>
    </row>
    <row r="4743" spans="1:1" x14ac:dyDescent="0.2">
      <c r="A4743">
        <v>11338.228609349811</v>
      </c>
    </row>
    <row r="4744" spans="1:1" x14ac:dyDescent="0.2">
      <c r="A4744">
        <v>-19184.658330219798</v>
      </c>
    </row>
    <row r="4745" spans="1:1" x14ac:dyDescent="0.2">
      <c r="A4745">
        <v>3566.5641042210045</v>
      </c>
    </row>
    <row r="4746" spans="1:1" x14ac:dyDescent="0.2">
      <c r="A4746">
        <v>7057.3576028678217</v>
      </c>
    </row>
    <row r="4747" spans="1:1" x14ac:dyDescent="0.2">
      <c r="A4747">
        <v>-2857.070445904159</v>
      </c>
    </row>
    <row r="4748" spans="1:1" x14ac:dyDescent="0.2">
      <c r="A4748">
        <v>-3837.8663935430377</v>
      </c>
    </row>
    <row r="4749" spans="1:1" x14ac:dyDescent="0.2">
      <c r="A4749">
        <v>7082.5156643263472</v>
      </c>
    </row>
    <row r="4750" spans="1:1" x14ac:dyDescent="0.2">
      <c r="A4750">
        <v>-12703.526381282776</v>
      </c>
    </row>
    <row r="4751" spans="1:1" x14ac:dyDescent="0.2">
      <c r="A4751">
        <v>3474.6652458706521</v>
      </c>
    </row>
    <row r="4752" spans="1:1" x14ac:dyDescent="0.2">
      <c r="A4752">
        <v>-1051.0388149767241</v>
      </c>
    </row>
    <row r="4753" spans="1:1" x14ac:dyDescent="0.2">
      <c r="A4753">
        <v>-7433.1785562603618</v>
      </c>
    </row>
    <row r="4754" spans="1:1" x14ac:dyDescent="0.2">
      <c r="A4754">
        <v>-11388.45235515089</v>
      </c>
    </row>
    <row r="4755" spans="1:1" x14ac:dyDescent="0.2">
      <c r="A4755">
        <v>4438.9025337072671</v>
      </c>
    </row>
    <row r="4756" spans="1:1" x14ac:dyDescent="0.2">
      <c r="A4756">
        <v>-4508.825020629738</v>
      </c>
    </row>
    <row r="4757" spans="1:1" x14ac:dyDescent="0.2">
      <c r="A4757">
        <v>-13658.68570265203</v>
      </c>
    </row>
    <row r="4758" spans="1:1" x14ac:dyDescent="0.2">
      <c r="A4758">
        <v>16272.542789214815</v>
      </c>
    </row>
    <row r="4759" spans="1:1" x14ac:dyDescent="0.2">
      <c r="A4759">
        <v>-8926.4126166714123</v>
      </c>
    </row>
    <row r="4760" spans="1:1" x14ac:dyDescent="0.2">
      <c r="A4760">
        <v>8927.1202728230564</v>
      </c>
    </row>
    <row r="4761" spans="1:1" x14ac:dyDescent="0.2">
      <c r="A4761">
        <v>3231.8083167739969</v>
      </c>
    </row>
    <row r="4762" spans="1:1" x14ac:dyDescent="0.2">
      <c r="A4762">
        <v>-29726.952968658938</v>
      </c>
    </row>
    <row r="4763" spans="1:1" x14ac:dyDescent="0.2">
      <c r="A4763">
        <v>1036.9410821649071</v>
      </c>
    </row>
    <row r="4764" spans="1:1" x14ac:dyDescent="0.2">
      <c r="A4764">
        <v>24246.700182294357</v>
      </c>
    </row>
    <row r="4765" spans="1:1" x14ac:dyDescent="0.2">
      <c r="A4765">
        <v>16985.936865283729</v>
      </c>
    </row>
    <row r="4766" spans="1:1" x14ac:dyDescent="0.2">
      <c r="A4766">
        <v>27339.702038956108</v>
      </c>
    </row>
    <row r="4767" spans="1:1" x14ac:dyDescent="0.2">
      <c r="A4767">
        <v>2249.2334027825855</v>
      </c>
    </row>
    <row r="4768" spans="1:1" x14ac:dyDescent="0.2">
      <c r="A4768">
        <v>23160.495516449475</v>
      </c>
    </row>
    <row r="4769" spans="1:1" x14ac:dyDescent="0.2">
      <c r="A4769">
        <v>-22381.267621116131</v>
      </c>
    </row>
    <row r="4770" spans="1:1" x14ac:dyDescent="0.2">
      <c r="A4770">
        <v>12906.485798263253</v>
      </c>
    </row>
    <row r="4771" spans="1:1" x14ac:dyDescent="0.2">
      <c r="A4771">
        <v>8819.5641418299638</v>
      </c>
    </row>
    <row r="4772" spans="1:1" x14ac:dyDescent="0.2">
      <c r="A4772">
        <v>-5950.6370828656072</v>
      </c>
    </row>
    <row r="4773" spans="1:1" x14ac:dyDescent="0.2">
      <c r="A4773">
        <v>12484.052308175917</v>
      </c>
    </row>
    <row r="4774" spans="1:1" x14ac:dyDescent="0.2">
      <c r="A4774">
        <v>-3464.343258668785</v>
      </c>
    </row>
    <row r="4775" spans="1:1" x14ac:dyDescent="0.2">
      <c r="A4775">
        <v>-4421.0324708992848</v>
      </c>
    </row>
    <row r="4776" spans="1:1" x14ac:dyDescent="0.2">
      <c r="A4776">
        <v>8400.8313950360462</v>
      </c>
    </row>
    <row r="4777" spans="1:1" x14ac:dyDescent="0.2">
      <c r="A4777">
        <v>3596.5411020021129</v>
      </c>
    </row>
    <row r="4778" spans="1:1" x14ac:dyDescent="0.2">
      <c r="A4778">
        <v>-28898.160713738878</v>
      </c>
    </row>
    <row r="4779" spans="1:1" x14ac:dyDescent="0.2">
      <c r="A4779">
        <v>-23060.900580947346</v>
      </c>
    </row>
    <row r="4780" spans="1:1" x14ac:dyDescent="0.2">
      <c r="A4780">
        <v>2547.0198730261181</v>
      </c>
    </row>
    <row r="4781" spans="1:1" x14ac:dyDescent="0.2">
      <c r="A4781">
        <v>4825.8900270347367</v>
      </c>
    </row>
    <row r="4782" spans="1:1" x14ac:dyDescent="0.2">
      <c r="A4782">
        <v>16839.300396943348</v>
      </c>
    </row>
    <row r="4783" spans="1:1" x14ac:dyDescent="0.2">
      <c r="A4783">
        <v>25642.63306127183</v>
      </c>
    </row>
    <row r="4784" spans="1:1" x14ac:dyDescent="0.2">
      <c r="A4784">
        <v>27138.069031878491</v>
      </c>
    </row>
    <row r="4785" spans="1:1" x14ac:dyDescent="0.2">
      <c r="A4785">
        <v>12237.536455688969</v>
      </c>
    </row>
    <row r="4786" spans="1:1" x14ac:dyDescent="0.2">
      <c r="A4786">
        <v>4227.360757641407</v>
      </c>
    </row>
    <row r="4787" spans="1:1" x14ac:dyDescent="0.2">
      <c r="A4787">
        <v>-4043.0699611929886</v>
      </c>
    </row>
    <row r="4788" spans="1:1" x14ac:dyDescent="0.2">
      <c r="A4788">
        <v>-2849.3763375261333</v>
      </c>
    </row>
    <row r="4789" spans="1:1" x14ac:dyDescent="0.2">
      <c r="A4789">
        <v>9039.6064291061775</v>
      </c>
    </row>
    <row r="4790" spans="1:1" x14ac:dyDescent="0.2">
      <c r="A4790">
        <v>-9416.9824604261667</v>
      </c>
    </row>
    <row r="4791" spans="1:1" x14ac:dyDescent="0.2">
      <c r="A4791">
        <v>7461.233525540767</v>
      </c>
    </row>
    <row r="4792" spans="1:1" x14ac:dyDescent="0.2">
      <c r="A4792">
        <v>12330.295787933079</v>
      </c>
    </row>
    <row r="4793" spans="1:1" x14ac:dyDescent="0.2">
      <c r="A4793">
        <v>7455.2164060300565</v>
      </c>
    </row>
    <row r="4794" spans="1:1" x14ac:dyDescent="0.2">
      <c r="A4794">
        <v>1596.0384817271843</v>
      </c>
    </row>
    <row r="4795" spans="1:1" x14ac:dyDescent="0.2">
      <c r="A4795">
        <v>1571.6013812944875</v>
      </c>
    </row>
    <row r="4796" spans="1:1" x14ac:dyDescent="0.2">
      <c r="A4796">
        <v>15735.848312148941</v>
      </c>
    </row>
    <row r="4797" spans="1:1" x14ac:dyDescent="0.2">
      <c r="A4797">
        <v>-637.94069704180583</v>
      </c>
    </row>
    <row r="4798" spans="1:1" x14ac:dyDescent="0.2">
      <c r="A4798">
        <v>7136.3003239117679</v>
      </c>
    </row>
    <row r="4799" spans="1:1" x14ac:dyDescent="0.2">
      <c r="A4799">
        <v>-684.77820326149231</v>
      </c>
    </row>
    <row r="4800" spans="1:1" x14ac:dyDescent="0.2">
      <c r="A4800">
        <v>10033.813234589616</v>
      </c>
    </row>
    <row r="4801" spans="1:1" x14ac:dyDescent="0.2">
      <c r="A4801">
        <v>12386.197310195304</v>
      </c>
    </row>
    <row r="4802" spans="1:1" x14ac:dyDescent="0.2">
      <c r="A4802">
        <v>6466.3062093274784</v>
      </c>
    </row>
    <row r="4803" spans="1:1" x14ac:dyDescent="0.2">
      <c r="A4803">
        <v>8915.8930244203366</v>
      </c>
    </row>
    <row r="4804" spans="1:1" x14ac:dyDescent="0.2">
      <c r="A4804">
        <v>12765.766147164453</v>
      </c>
    </row>
    <row r="4805" spans="1:1" x14ac:dyDescent="0.2">
      <c r="A4805">
        <v>5796.1560304570303</v>
      </c>
    </row>
    <row r="4806" spans="1:1" x14ac:dyDescent="0.2">
      <c r="A4806">
        <v>-25890.391376695305</v>
      </c>
    </row>
    <row r="4807" spans="1:1" x14ac:dyDescent="0.2">
      <c r="A4807">
        <v>8091.5713864209829</v>
      </c>
    </row>
    <row r="4808" spans="1:1" x14ac:dyDescent="0.2">
      <c r="A4808">
        <v>-466.66484608943574</v>
      </c>
    </row>
    <row r="4809" spans="1:1" x14ac:dyDescent="0.2">
      <c r="A4809">
        <v>-8150.2203958521131</v>
      </c>
    </row>
    <row r="4810" spans="1:1" x14ac:dyDescent="0.2">
      <c r="A4810">
        <v>7860.9703442944156</v>
      </c>
    </row>
    <row r="4811" spans="1:1" x14ac:dyDescent="0.2">
      <c r="A4811">
        <v>6347.4755789793853</v>
      </c>
    </row>
    <row r="4812" spans="1:1" x14ac:dyDescent="0.2">
      <c r="A4812">
        <v>346.01974927075207</v>
      </c>
    </row>
    <row r="4813" spans="1:1" x14ac:dyDescent="0.2">
      <c r="A4813">
        <v>5578.4726765851956</v>
      </c>
    </row>
    <row r="4814" spans="1:1" x14ac:dyDescent="0.2">
      <c r="A4814">
        <v>2763.8570812281687</v>
      </c>
    </row>
    <row r="4815" spans="1:1" x14ac:dyDescent="0.2">
      <c r="A4815">
        <v>-7332.3393984054564</v>
      </c>
    </row>
    <row r="4816" spans="1:1" x14ac:dyDescent="0.2">
      <c r="A4816">
        <v>-2687.6641738123144</v>
      </c>
    </row>
    <row r="4817" spans="1:1" x14ac:dyDescent="0.2">
      <c r="A4817">
        <v>3529.4010619608453</v>
      </c>
    </row>
    <row r="4818" spans="1:1" x14ac:dyDescent="0.2">
      <c r="A4818">
        <v>5562.5970204637852</v>
      </c>
    </row>
    <row r="4819" spans="1:1" x14ac:dyDescent="0.2">
      <c r="A4819">
        <v>-1526.238688698475</v>
      </c>
    </row>
    <row r="4820" spans="1:1" x14ac:dyDescent="0.2">
      <c r="A4820">
        <v>9928.9619032206247</v>
      </c>
    </row>
    <row r="4821" spans="1:1" x14ac:dyDescent="0.2">
      <c r="A4821">
        <v>-1713.40260576937</v>
      </c>
    </row>
    <row r="4822" spans="1:1" x14ac:dyDescent="0.2">
      <c r="A4822">
        <v>2368.9162726232316</v>
      </c>
    </row>
    <row r="4823" spans="1:1" x14ac:dyDescent="0.2">
      <c r="A4823">
        <v>21718.628754486854</v>
      </c>
    </row>
    <row r="4824" spans="1:1" x14ac:dyDescent="0.2">
      <c r="A4824">
        <v>9762.7180113238865</v>
      </c>
    </row>
    <row r="4825" spans="1:1" x14ac:dyDescent="0.2">
      <c r="A4825">
        <v>-14730.923526507104</v>
      </c>
    </row>
    <row r="4826" spans="1:1" x14ac:dyDescent="0.2">
      <c r="A4826">
        <v>1458.1334644006565</v>
      </c>
    </row>
    <row r="4827" spans="1:1" x14ac:dyDescent="0.2">
      <c r="A4827">
        <v>-4419.8069490324706</v>
      </c>
    </row>
    <row r="4828" spans="1:1" x14ac:dyDescent="0.2">
      <c r="A4828">
        <v>-4733.4253818670695</v>
      </c>
    </row>
    <row r="4829" spans="1:1" x14ac:dyDescent="0.2">
      <c r="A4829">
        <v>6109.7344975761371</v>
      </c>
    </row>
    <row r="4830" spans="1:1" x14ac:dyDescent="0.2">
      <c r="A4830">
        <v>5519.1251866967068</v>
      </c>
    </row>
    <row r="4831" spans="1:1" x14ac:dyDescent="0.2">
      <c r="A4831">
        <v>-8648.8800250973436</v>
      </c>
    </row>
    <row r="4832" spans="1:1" x14ac:dyDescent="0.2">
      <c r="A4832">
        <v>2622.2051147602033</v>
      </c>
    </row>
    <row r="4833" spans="1:1" x14ac:dyDescent="0.2">
      <c r="A4833">
        <v>4471.0383194964088</v>
      </c>
    </row>
    <row r="4834" spans="1:1" x14ac:dyDescent="0.2">
      <c r="A4834">
        <v>3345.6484117443615</v>
      </c>
    </row>
    <row r="4835" spans="1:1" x14ac:dyDescent="0.2">
      <c r="A4835">
        <v>6496.5695537993161</v>
      </c>
    </row>
    <row r="4836" spans="1:1" x14ac:dyDescent="0.2">
      <c r="A4836">
        <v>-1130.073441176326</v>
      </c>
    </row>
    <row r="4837" spans="1:1" x14ac:dyDescent="0.2">
      <c r="A4837">
        <v>-6339.040085763816</v>
      </c>
    </row>
    <row r="4838" spans="1:1" x14ac:dyDescent="0.2">
      <c r="A4838">
        <v>-15553.944704744674</v>
      </c>
    </row>
    <row r="4839" spans="1:1" x14ac:dyDescent="0.2">
      <c r="A4839">
        <v>3918.6294732581009</v>
      </c>
    </row>
    <row r="4840" spans="1:1" x14ac:dyDescent="0.2">
      <c r="A4840">
        <v>7547.8476000530936</v>
      </c>
    </row>
    <row r="4841" spans="1:1" x14ac:dyDescent="0.2">
      <c r="A4841">
        <v>6821.2894172322704</v>
      </c>
    </row>
    <row r="4842" spans="1:1" x14ac:dyDescent="0.2">
      <c r="A4842">
        <v>-14697.799015564087</v>
      </c>
    </row>
    <row r="4843" spans="1:1" x14ac:dyDescent="0.2">
      <c r="A4843">
        <v>-14172.122281752061</v>
      </c>
    </row>
    <row r="4844" spans="1:1" x14ac:dyDescent="0.2">
      <c r="A4844">
        <v>-706.52197392369271</v>
      </c>
    </row>
    <row r="4845" spans="1:1" x14ac:dyDescent="0.2">
      <c r="A4845">
        <v>-21917.708801678033</v>
      </c>
    </row>
    <row r="4846" spans="1:1" x14ac:dyDescent="0.2">
      <c r="A4846">
        <v>19352.531615856715</v>
      </c>
    </row>
    <row r="4847" spans="1:1" x14ac:dyDescent="0.2">
      <c r="A4847">
        <v>-4657.8953371261014</v>
      </c>
    </row>
    <row r="4848" spans="1:1" x14ac:dyDescent="0.2">
      <c r="A4848">
        <v>-14736.253094103886</v>
      </c>
    </row>
    <row r="4849" spans="1:1" x14ac:dyDescent="0.2">
      <c r="A4849">
        <v>828.19056899097632</v>
      </c>
    </row>
    <row r="4850" spans="1:1" x14ac:dyDescent="0.2">
      <c r="A4850">
        <v>-24701.720832211373</v>
      </c>
    </row>
    <row r="4851" spans="1:1" x14ac:dyDescent="0.2">
      <c r="A4851">
        <v>-1543.6642021299631</v>
      </c>
    </row>
    <row r="4852" spans="1:1" x14ac:dyDescent="0.2">
      <c r="A4852">
        <v>994.68161588223302</v>
      </c>
    </row>
    <row r="4853" spans="1:1" x14ac:dyDescent="0.2">
      <c r="A4853">
        <v>-14410.70742303005</v>
      </c>
    </row>
    <row r="4854" spans="1:1" x14ac:dyDescent="0.2">
      <c r="A4854">
        <v>-2004.2597893920029</v>
      </c>
    </row>
    <row r="4855" spans="1:1" x14ac:dyDescent="0.2">
      <c r="A4855">
        <v>1968.2145348062331</v>
      </c>
    </row>
    <row r="4856" spans="1:1" x14ac:dyDescent="0.2">
      <c r="A4856">
        <v>4140.3871665052138</v>
      </c>
    </row>
    <row r="4857" spans="1:1" x14ac:dyDescent="0.2">
      <c r="A4857">
        <v>9979.5424182556744</v>
      </c>
    </row>
    <row r="4858" spans="1:1" x14ac:dyDescent="0.2">
      <c r="A4858">
        <v>18882.791173732199</v>
      </c>
    </row>
    <row r="4859" spans="1:1" x14ac:dyDescent="0.2">
      <c r="A4859">
        <v>10467.090919522976</v>
      </c>
    </row>
    <row r="4860" spans="1:1" x14ac:dyDescent="0.2">
      <c r="A4860">
        <v>8445.5230049550592</v>
      </c>
    </row>
    <row r="4861" spans="1:1" x14ac:dyDescent="0.2">
      <c r="A4861">
        <v>-23.417395398078952</v>
      </c>
    </row>
    <row r="4862" spans="1:1" x14ac:dyDescent="0.2">
      <c r="A4862">
        <v>-5403.930582502886</v>
      </c>
    </row>
    <row r="4863" spans="1:1" x14ac:dyDescent="0.2">
      <c r="A4863">
        <v>-1806.4316405562568</v>
      </c>
    </row>
    <row r="4864" spans="1:1" x14ac:dyDescent="0.2">
      <c r="A4864">
        <v>-2831.8909570018295</v>
      </c>
    </row>
    <row r="4865" spans="1:1" x14ac:dyDescent="0.2">
      <c r="A4865">
        <v>7183.7901706609409</v>
      </c>
    </row>
    <row r="4866" spans="1:1" x14ac:dyDescent="0.2">
      <c r="A4866">
        <v>-12508.867715426255</v>
      </c>
    </row>
    <row r="4867" spans="1:1" x14ac:dyDescent="0.2">
      <c r="A4867">
        <v>-10510.695608286595</v>
      </c>
    </row>
    <row r="4868" spans="1:1" x14ac:dyDescent="0.2">
      <c r="A4868">
        <v>8278.2555869844509</v>
      </c>
    </row>
    <row r="4869" spans="1:1" x14ac:dyDescent="0.2">
      <c r="A4869">
        <v>15408.453393021366</v>
      </c>
    </row>
    <row r="4870" spans="1:1" x14ac:dyDescent="0.2">
      <c r="A4870">
        <v>1095.8997861829703</v>
      </c>
    </row>
    <row r="4871" spans="1:1" x14ac:dyDescent="0.2">
      <c r="A4871">
        <v>1394.5999359709385</v>
      </c>
    </row>
    <row r="4872" spans="1:1" x14ac:dyDescent="0.2">
      <c r="A4872">
        <v>-696.89456348965177</v>
      </c>
    </row>
    <row r="4873" spans="1:1" x14ac:dyDescent="0.2">
      <c r="A4873">
        <v>-3964.0058646148536</v>
      </c>
    </row>
    <row r="4874" spans="1:1" x14ac:dyDescent="0.2">
      <c r="A4874">
        <v>-3570.5887366675015</v>
      </c>
    </row>
    <row r="4875" spans="1:1" x14ac:dyDescent="0.2">
      <c r="A4875">
        <v>-21807.615397109228</v>
      </c>
    </row>
    <row r="4876" spans="1:1" x14ac:dyDescent="0.2">
      <c r="A4876">
        <v>7210.128033686342</v>
      </c>
    </row>
    <row r="4877" spans="1:1" x14ac:dyDescent="0.2">
      <c r="A4877">
        <v>-7518.5868048231641</v>
      </c>
    </row>
    <row r="4878" spans="1:1" x14ac:dyDescent="0.2">
      <c r="A4878">
        <v>7915.9148091305397</v>
      </c>
    </row>
    <row r="4879" spans="1:1" x14ac:dyDescent="0.2">
      <c r="A4879">
        <v>3533.6151757034531</v>
      </c>
    </row>
    <row r="4880" spans="1:1" x14ac:dyDescent="0.2">
      <c r="A4880">
        <v>15168.928305378184</v>
      </c>
    </row>
    <row r="4881" spans="1:1" x14ac:dyDescent="0.2">
      <c r="A4881">
        <v>-15393.457011012593</v>
      </c>
    </row>
    <row r="4882" spans="1:1" x14ac:dyDescent="0.2">
      <c r="A4882">
        <v>-13697.075688517536</v>
      </c>
    </row>
    <row r="4883" spans="1:1" x14ac:dyDescent="0.2">
      <c r="A4883">
        <v>-6098.2187466670293</v>
      </c>
    </row>
    <row r="4884" spans="1:1" x14ac:dyDescent="0.2">
      <c r="A4884">
        <v>-11878.067660366476</v>
      </c>
    </row>
    <row r="4885" spans="1:1" x14ac:dyDescent="0.2">
      <c r="A4885">
        <v>1469.2274276643002</v>
      </c>
    </row>
    <row r="4886" spans="1:1" x14ac:dyDescent="0.2">
      <c r="A4886">
        <v>3922.6608729048749</v>
      </c>
    </row>
    <row r="4887" spans="1:1" x14ac:dyDescent="0.2">
      <c r="A4887">
        <v>1151.6033214903437</v>
      </c>
    </row>
    <row r="4888" spans="1:1" x14ac:dyDescent="0.2">
      <c r="A4888">
        <v>7834.1195000100415</v>
      </c>
    </row>
    <row r="4889" spans="1:1" x14ac:dyDescent="0.2">
      <c r="A4889">
        <v>-10822.976598725654</v>
      </c>
    </row>
    <row r="4890" spans="1:1" x14ac:dyDescent="0.2">
      <c r="A4890">
        <v>-2714.6597340278386</v>
      </c>
    </row>
    <row r="4891" spans="1:1" x14ac:dyDescent="0.2">
      <c r="A4891">
        <v>-1740.5962980233599</v>
      </c>
    </row>
    <row r="4892" spans="1:1" x14ac:dyDescent="0.2">
      <c r="A4892">
        <v>1449.0955008117016</v>
      </c>
    </row>
    <row r="4893" spans="1:1" x14ac:dyDescent="0.2">
      <c r="A4893">
        <v>777.23054844117723</v>
      </c>
    </row>
    <row r="4894" spans="1:1" x14ac:dyDescent="0.2">
      <c r="A4894">
        <v>7830.9093818783876</v>
      </c>
    </row>
    <row r="4895" spans="1:1" x14ac:dyDescent="0.2">
      <c r="A4895">
        <v>26355.415842384449</v>
      </c>
    </row>
    <row r="4896" spans="1:1" x14ac:dyDescent="0.2">
      <c r="A4896">
        <v>9812.2942626558652</v>
      </c>
    </row>
    <row r="4897" spans="1:1" x14ac:dyDescent="0.2">
      <c r="A4897">
        <v>1166.4709790594934</v>
      </c>
    </row>
    <row r="4898" spans="1:1" x14ac:dyDescent="0.2">
      <c r="A4898">
        <v>-9943.426042544248</v>
      </c>
    </row>
    <row r="4899" spans="1:1" x14ac:dyDescent="0.2">
      <c r="A4899">
        <v>3912.3532478990965</v>
      </c>
    </row>
    <row r="4900" spans="1:1" x14ac:dyDescent="0.2">
      <c r="A4900">
        <v>2338.8058331474895</v>
      </c>
    </row>
    <row r="4901" spans="1:1" x14ac:dyDescent="0.2">
      <c r="A4901">
        <v>-2536.3838901442941</v>
      </c>
    </row>
    <row r="4902" spans="1:1" x14ac:dyDescent="0.2">
      <c r="A4902">
        <v>7148.8439869006397</v>
      </c>
    </row>
    <row r="4903" spans="1:1" x14ac:dyDescent="0.2">
      <c r="A4903">
        <v>-20322.265099398384</v>
      </c>
    </row>
    <row r="4904" spans="1:1" x14ac:dyDescent="0.2">
      <c r="A4904">
        <v>5783.545098753646</v>
      </c>
    </row>
    <row r="4905" spans="1:1" x14ac:dyDescent="0.2">
      <c r="A4905">
        <v>9750.4643885221158</v>
      </c>
    </row>
    <row r="4906" spans="1:1" x14ac:dyDescent="0.2">
      <c r="A4906">
        <v>16764.305443933205</v>
      </c>
    </row>
    <row r="4907" spans="1:1" x14ac:dyDescent="0.2">
      <c r="A4907">
        <v>-4386.6298617579159</v>
      </c>
    </row>
    <row r="4908" spans="1:1" x14ac:dyDescent="0.2">
      <c r="A4908">
        <v>5249.1436120796425</v>
      </c>
    </row>
    <row r="4909" spans="1:1" x14ac:dyDescent="0.2">
      <c r="A4909">
        <v>-7326.6050598688889</v>
      </c>
    </row>
    <row r="4910" spans="1:1" x14ac:dyDescent="0.2">
      <c r="A4910">
        <v>-1105.3043827012007</v>
      </c>
    </row>
    <row r="4911" spans="1:1" x14ac:dyDescent="0.2">
      <c r="A4911">
        <v>7570.7075697337859</v>
      </c>
    </row>
    <row r="4912" spans="1:1" x14ac:dyDescent="0.2">
      <c r="A4912">
        <v>16397.547966290615</v>
      </c>
    </row>
    <row r="4913" spans="1:1" x14ac:dyDescent="0.2">
      <c r="A4913">
        <v>21955.403668351646</v>
      </c>
    </row>
    <row r="4914" spans="1:1" x14ac:dyDescent="0.2">
      <c r="A4914">
        <v>-5011.5850990727777</v>
      </c>
    </row>
    <row r="4915" spans="1:1" x14ac:dyDescent="0.2">
      <c r="A4915">
        <v>-510.30774900101824</v>
      </c>
    </row>
    <row r="4916" spans="1:1" x14ac:dyDescent="0.2">
      <c r="A4916">
        <v>9979.5599428857095</v>
      </c>
    </row>
    <row r="4917" spans="1:1" x14ac:dyDescent="0.2">
      <c r="A4917">
        <v>4986.3488619810087</v>
      </c>
    </row>
    <row r="4918" spans="1:1" x14ac:dyDescent="0.2">
      <c r="A4918">
        <v>6750.921268879727</v>
      </c>
    </row>
    <row r="4919" spans="1:1" x14ac:dyDescent="0.2">
      <c r="A4919">
        <v>4332.1669966315676</v>
      </c>
    </row>
    <row r="4920" spans="1:1" x14ac:dyDescent="0.2">
      <c r="A4920">
        <v>4804.8988607739448</v>
      </c>
    </row>
    <row r="4921" spans="1:1" x14ac:dyDescent="0.2">
      <c r="A4921">
        <v>-584.2007363724988</v>
      </c>
    </row>
    <row r="4922" spans="1:1" x14ac:dyDescent="0.2">
      <c r="A4922">
        <v>13465.55816508655</v>
      </c>
    </row>
    <row r="4923" spans="1:1" x14ac:dyDescent="0.2">
      <c r="A4923">
        <v>-11545.529902879149</v>
      </c>
    </row>
    <row r="4924" spans="1:1" x14ac:dyDescent="0.2">
      <c r="A4924">
        <v>-2240.2592715182109</v>
      </c>
    </row>
    <row r="4925" spans="1:1" x14ac:dyDescent="0.2">
      <c r="A4925">
        <v>-2378.5518605930847</v>
      </c>
    </row>
    <row r="4926" spans="1:1" x14ac:dyDescent="0.2">
      <c r="A4926">
        <v>6053.3610717552656</v>
      </c>
    </row>
    <row r="4927" spans="1:1" x14ac:dyDescent="0.2">
      <c r="A4927">
        <v>-9779.2556995961932</v>
      </c>
    </row>
    <row r="4928" spans="1:1" x14ac:dyDescent="0.2">
      <c r="A4928">
        <v>1598.0284041551349</v>
      </c>
    </row>
    <row r="4929" spans="1:1" x14ac:dyDescent="0.2">
      <c r="A4929">
        <v>9166.8433219350409</v>
      </c>
    </row>
    <row r="4930" spans="1:1" x14ac:dyDescent="0.2">
      <c r="A4930">
        <v>629.72012539350544</v>
      </c>
    </row>
    <row r="4931" spans="1:1" x14ac:dyDescent="0.2">
      <c r="A4931">
        <v>-1148.6391291328182</v>
      </c>
    </row>
    <row r="4932" spans="1:1" x14ac:dyDescent="0.2">
      <c r="A4932">
        <v>-4413.2928171076055</v>
      </c>
    </row>
    <row r="4933" spans="1:1" x14ac:dyDescent="0.2">
      <c r="A4933">
        <v>20822.520597650087</v>
      </c>
    </row>
    <row r="4934" spans="1:1" x14ac:dyDescent="0.2">
      <c r="A4934">
        <v>13140.339267841337</v>
      </c>
    </row>
    <row r="4935" spans="1:1" x14ac:dyDescent="0.2">
      <c r="A4935">
        <v>-16619.258500706812</v>
      </c>
    </row>
    <row r="4936" spans="1:1" x14ac:dyDescent="0.2">
      <c r="A4936">
        <v>4339.8290698473575</v>
      </c>
    </row>
    <row r="4937" spans="1:1" x14ac:dyDescent="0.2">
      <c r="A4937">
        <v>5691.7677143613109</v>
      </c>
    </row>
    <row r="4938" spans="1:1" x14ac:dyDescent="0.2">
      <c r="A4938">
        <v>-22.962848931289045</v>
      </c>
    </row>
    <row r="4939" spans="1:1" x14ac:dyDescent="0.2">
      <c r="A4939">
        <v>-5014.191733321466</v>
      </c>
    </row>
    <row r="4940" spans="1:1" x14ac:dyDescent="0.2">
      <c r="A4940">
        <v>-9773.6038477454567</v>
      </c>
    </row>
    <row r="4941" spans="1:1" x14ac:dyDescent="0.2">
      <c r="A4941">
        <v>14312.903355471819</v>
      </c>
    </row>
    <row r="4942" spans="1:1" x14ac:dyDescent="0.2">
      <c r="A4942">
        <v>4981.2165549807105</v>
      </c>
    </row>
    <row r="4943" spans="1:1" x14ac:dyDescent="0.2">
      <c r="A4943">
        <v>-1673.5227910086105</v>
      </c>
    </row>
    <row r="4944" spans="1:1" x14ac:dyDescent="0.2">
      <c r="A4944">
        <v>2170.1064320235164</v>
      </c>
    </row>
    <row r="4945" spans="1:1" x14ac:dyDescent="0.2">
      <c r="A4945">
        <v>3127.4793312915426</v>
      </c>
    </row>
    <row r="4946" spans="1:1" x14ac:dyDescent="0.2">
      <c r="A4946">
        <v>9827.6621657722862</v>
      </c>
    </row>
    <row r="4947" spans="1:1" x14ac:dyDescent="0.2">
      <c r="A4947">
        <v>8617.4890646605054</v>
      </c>
    </row>
    <row r="4948" spans="1:1" x14ac:dyDescent="0.2">
      <c r="A4948">
        <v>6678.7960577699705</v>
      </c>
    </row>
    <row r="4949" spans="1:1" x14ac:dyDescent="0.2">
      <c r="A4949">
        <v>9214.7160115413426</v>
      </c>
    </row>
    <row r="4950" spans="1:1" x14ac:dyDescent="0.2">
      <c r="A4950">
        <v>1020.6311392928183</v>
      </c>
    </row>
    <row r="4951" spans="1:1" x14ac:dyDescent="0.2">
      <c r="A4951">
        <v>-5205.6363226402609</v>
      </c>
    </row>
    <row r="4952" spans="1:1" x14ac:dyDescent="0.2">
      <c r="A4952">
        <v>3089.0061888720957</v>
      </c>
    </row>
    <row r="4953" spans="1:1" x14ac:dyDescent="0.2">
      <c r="A4953">
        <v>-7667.3735349589842</v>
      </c>
    </row>
    <row r="4954" spans="1:1" x14ac:dyDescent="0.2">
      <c r="A4954">
        <v>-4123.9044466680207</v>
      </c>
    </row>
    <row r="4955" spans="1:1" x14ac:dyDescent="0.2">
      <c r="A4955">
        <v>-11023.777641213237</v>
      </c>
    </row>
    <row r="4956" spans="1:1" x14ac:dyDescent="0.2">
      <c r="A4956">
        <v>-7039.5123173018219</v>
      </c>
    </row>
    <row r="4957" spans="1:1" x14ac:dyDescent="0.2">
      <c r="A4957">
        <v>-5368.0804167259485</v>
      </c>
    </row>
    <row r="4958" spans="1:1" x14ac:dyDescent="0.2">
      <c r="A4958">
        <v>9922.9567318821792</v>
      </c>
    </row>
    <row r="4959" spans="1:1" x14ac:dyDescent="0.2">
      <c r="A4959">
        <v>12869.014994925354</v>
      </c>
    </row>
    <row r="4960" spans="1:1" x14ac:dyDescent="0.2">
      <c r="A4960">
        <v>8517.6664427047945</v>
      </c>
    </row>
    <row r="4961" spans="1:1" x14ac:dyDescent="0.2">
      <c r="A4961">
        <v>6601.597428739944</v>
      </c>
    </row>
    <row r="4962" spans="1:1" x14ac:dyDescent="0.2">
      <c r="A4962">
        <v>-5713.5420993288863</v>
      </c>
    </row>
    <row r="4963" spans="1:1" x14ac:dyDescent="0.2">
      <c r="A4963">
        <v>3052.1352421271149</v>
      </c>
    </row>
    <row r="4964" spans="1:1" x14ac:dyDescent="0.2">
      <c r="A4964">
        <v>11345.991922676214</v>
      </c>
    </row>
    <row r="4965" spans="1:1" x14ac:dyDescent="0.2">
      <c r="A4965">
        <v>14321.978135676269</v>
      </c>
    </row>
    <row r="4966" spans="1:1" x14ac:dyDescent="0.2">
      <c r="A4966">
        <v>14591.15104100859</v>
      </c>
    </row>
    <row r="4967" spans="1:1" x14ac:dyDescent="0.2">
      <c r="A4967">
        <v>-11042.894439925993</v>
      </c>
    </row>
    <row r="4968" spans="1:1" x14ac:dyDescent="0.2">
      <c r="A4968">
        <v>4204.9106763244199</v>
      </c>
    </row>
    <row r="4969" spans="1:1" x14ac:dyDescent="0.2">
      <c r="A4969">
        <v>-5628.1854918846511</v>
      </c>
    </row>
    <row r="4970" spans="1:1" x14ac:dyDescent="0.2">
      <c r="A4970">
        <v>1375.826746687846</v>
      </c>
    </row>
    <row r="4971" spans="1:1" x14ac:dyDescent="0.2">
      <c r="A4971">
        <v>3328.1238627483835</v>
      </c>
    </row>
    <row r="4972" spans="1:1" x14ac:dyDescent="0.2">
      <c r="A4972">
        <v>5137.4577635720489</v>
      </c>
    </row>
    <row r="4973" spans="1:1" x14ac:dyDescent="0.2">
      <c r="A4973">
        <v>-22.058315643807873</v>
      </c>
    </row>
    <row r="4974" spans="1:1" x14ac:dyDescent="0.2">
      <c r="A4974">
        <v>19682.270374936517</v>
      </c>
    </row>
    <row r="4975" spans="1:1" x14ac:dyDescent="0.2">
      <c r="A4975">
        <v>-13684.925483261643</v>
      </c>
    </row>
    <row r="4976" spans="1:1" x14ac:dyDescent="0.2">
      <c r="A4976">
        <v>-158.41053039717372</v>
      </c>
    </row>
    <row r="4977" spans="1:1" x14ac:dyDescent="0.2">
      <c r="A4977">
        <v>3291.4672539949242</v>
      </c>
    </row>
    <row r="4978" spans="1:1" x14ac:dyDescent="0.2">
      <c r="A4978">
        <v>8010.5856141513796</v>
      </c>
    </row>
    <row r="4979" spans="1:1" x14ac:dyDescent="0.2">
      <c r="A4979">
        <v>2693.685613793321</v>
      </c>
    </row>
    <row r="4980" spans="1:1" x14ac:dyDescent="0.2">
      <c r="A4980">
        <v>-1656.5141918151639</v>
      </c>
    </row>
    <row r="4981" spans="1:1" x14ac:dyDescent="0.2">
      <c r="A4981">
        <v>9499.3149880812853</v>
      </c>
    </row>
    <row r="4982" spans="1:1" x14ac:dyDescent="0.2">
      <c r="A4982">
        <v>2943.7194415610284</v>
      </c>
    </row>
    <row r="4983" spans="1:1" x14ac:dyDescent="0.2">
      <c r="A4983">
        <v>-18916.943509960605</v>
      </c>
    </row>
    <row r="4984" spans="1:1" x14ac:dyDescent="0.2">
      <c r="A4984">
        <v>-1837.5706434297026</v>
      </c>
    </row>
    <row r="4985" spans="1:1" x14ac:dyDescent="0.2">
      <c r="A4985">
        <v>8753.7070443416014</v>
      </c>
    </row>
    <row r="4986" spans="1:1" x14ac:dyDescent="0.2">
      <c r="A4986">
        <v>9194.0689190875273</v>
      </c>
    </row>
    <row r="4987" spans="1:1" x14ac:dyDescent="0.2">
      <c r="A4987">
        <v>2436.5816715958063</v>
      </c>
    </row>
    <row r="4988" spans="1:1" x14ac:dyDescent="0.2">
      <c r="A4988">
        <v>-18756.275466241583</v>
      </c>
    </row>
    <row r="4989" spans="1:1" x14ac:dyDescent="0.2">
      <c r="A4989">
        <v>5511.9674983661971</v>
      </c>
    </row>
    <row r="4990" spans="1:1" x14ac:dyDescent="0.2">
      <c r="A4990">
        <v>9330.2729727220722</v>
      </c>
    </row>
    <row r="4991" spans="1:1" x14ac:dyDescent="0.2">
      <c r="A4991">
        <v>-7388.4724310319289</v>
      </c>
    </row>
    <row r="4992" spans="1:1" x14ac:dyDescent="0.2">
      <c r="A4992">
        <v>-1335.5584254432761</v>
      </c>
    </row>
    <row r="4993" spans="1:1" x14ac:dyDescent="0.2">
      <c r="A4993">
        <v>7795.4930063145002</v>
      </c>
    </row>
    <row r="4994" spans="1:1" x14ac:dyDescent="0.2">
      <c r="A4994">
        <v>-66.456500032392796</v>
      </c>
    </row>
    <row r="4995" spans="1:1" x14ac:dyDescent="0.2">
      <c r="A4995">
        <v>13839.306406187301</v>
      </c>
    </row>
    <row r="4996" spans="1:1" x14ac:dyDescent="0.2">
      <c r="A4996">
        <v>-1315.2368584383512</v>
      </c>
    </row>
    <row r="4997" spans="1:1" x14ac:dyDescent="0.2">
      <c r="A4997">
        <v>7977.1991834187647</v>
      </c>
    </row>
    <row r="4998" spans="1:1" x14ac:dyDescent="0.2">
      <c r="A4998">
        <v>-525.02331164220232</v>
      </c>
    </row>
    <row r="4999" spans="1:1" x14ac:dyDescent="0.2">
      <c r="A4999">
        <v>9829.0493604237272</v>
      </c>
    </row>
    <row r="5000" spans="1:1" x14ac:dyDescent="0.2">
      <c r="A5000">
        <v>-265.84263926796848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0</v>
      </c>
    </row>
    <row r="5013" spans="1:1" x14ac:dyDescent="0.2">
      <c r="A5013">
        <v>0</v>
      </c>
    </row>
    <row r="5014" spans="1:1" x14ac:dyDescent="0.2">
      <c r="A5014">
        <v>0</v>
      </c>
    </row>
    <row r="5015" spans="1:1" x14ac:dyDescent="0.2">
      <c r="A5015">
        <v>0</v>
      </c>
    </row>
    <row r="5016" spans="1:1" x14ac:dyDescent="0.2">
      <c r="A5016">
        <v>0</v>
      </c>
    </row>
    <row r="5017" spans="1:1" x14ac:dyDescent="0.2">
      <c r="A5017">
        <v>0</v>
      </c>
    </row>
    <row r="5018" spans="1:1" x14ac:dyDescent="0.2">
      <c r="A5018">
        <v>0</v>
      </c>
    </row>
    <row r="5019" spans="1:1" x14ac:dyDescent="0.2">
      <c r="A5019">
        <v>0</v>
      </c>
    </row>
    <row r="5020" spans="1:1" x14ac:dyDescent="0.2">
      <c r="A5020">
        <v>0</v>
      </c>
    </row>
    <row r="5021" spans="1:1" x14ac:dyDescent="0.2">
      <c r="A5021">
        <v>0</v>
      </c>
    </row>
    <row r="5022" spans="1:1" x14ac:dyDescent="0.2">
      <c r="A5022">
        <v>0</v>
      </c>
    </row>
    <row r="5023" spans="1:1" x14ac:dyDescent="0.2">
      <c r="A5023">
        <v>0</v>
      </c>
    </row>
    <row r="5024" spans="1:1" x14ac:dyDescent="0.2">
      <c r="A5024">
        <v>0</v>
      </c>
    </row>
    <row r="5025" spans="1:1" x14ac:dyDescent="0.2">
      <c r="A5025">
        <v>0</v>
      </c>
    </row>
    <row r="5026" spans="1:1" x14ac:dyDescent="0.2">
      <c r="A5026">
        <v>0</v>
      </c>
    </row>
    <row r="5027" spans="1:1" x14ac:dyDescent="0.2">
      <c r="A5027">
        <v>0</v>
      </c>
    </row>
    <row r="5028" spans="1:1" x14ac:dyDescent="0.2">
      <c r="A5028">
        <v>0</v>
      </c>
    </row>
    <row r="5029" spans="1:1" x14ac:dyDescent="0.2">
      <c r="A5029">
        <v>0</v>
      </c>
    </row>
    <row r="5030" spans="1:1" x14ac:dyDescent="0.2">
      <c r="A5030">
        <v>0</v>
      </c>
    </row>
    <row r="5031" spans="1:1" x14ac:dyDescent="0.2">
      <c r="A5031">
        <v>0</v>
      </c>
    </row>
    <row r="5032" spans="1:1" x14ac:dyDescent="0.2">
      <c r="A5032">
        <v>0</v>
      </c>
    </row>
    <row r="5033" spans="1:1" x14ac:dyDescent="0.2">
      <c r="A5033">
        <v>0</v>
      </c>
    </row>
    <row r="5034" spans="1:1" x14ac:dyDescent="0.2">
      <c r="A5034">
        <v>0</v>
      </c>
    </row>
    <row r="5035" spans="1:1" x14ac:dyDescent="0.2">
      <c r="A5035">
        <v>0</v>
      </c>
    </row>
    <row r="5036" spans="1:1" x14ac:dyDescent="0.2">
      <c r="A5036">
        <v>0</v>
      </c>
    </row>
    <row r="5037" spans="1:1" x14ac:dyDescent="0.2">
      <c r="A5037">
        <v>0</v>
      </c>
    </row>
    <row r="5038" spans="1:1" x14ac:dyDescent="0.2">
      <c r="A5038">
        <v>0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0</v>
      </c>
    </row>
    <row r="5061" spans="1:1" x14ac:dyDescent="0.2">
      <c r="A5061">
        <v>0</v>
      </c>
    </row>
    <row r="5062" spans="1:1" x14ac:dyDescent="0.2">
      <c r="A5062">
        <v>0</v>
      </c>
    </row>
    <row r="5063" spans="1:1" x14ac:dyDescent="0.2">
      <c r="A5063">
        <v>0</v>
      </c>
    </row>
    <row r="5064" spans="1:1" x14ac:dyDescent="0.2">
      <c r="A5064">
        <v>0</v>
      </c>
    </row>
    <row r="5065" spans="1:1" x14ac:dyDescent="0.2">
      <c r="A5065">
        <v>0</v>
      </c>
    </row>
    <row r="5066" spans="1:1" x14ac:dyDescent="0.2">
      <c r="A5066">
        <v>0</v>
      </c>
    </row>
    <row r="5067" spans="1:1" x14ac:dyDescent="0.2">
      <c r="A5067">
        <v>0</v>
      </c>
    </row>
    <row r="5068" spans="1:1" x14ac:dyDescent="0.2">
      <c r="A5068">
        <v>0</v>
      </c>
    </row>
    <row r="5069" spans="1:1" x14ac:dyDescent="0.2">
      <c r="A5069">
        <v>0</v>
      </c>
    </row>
    <row r="5070" spans="1:1" x14ac:dyDescent="0.2">
      <c r="A5070">
        <v>0</v>
      </c>
    </row>
    <row r="5071" spans="1:1" x14ac:dyDescent="0.2">
      <c r="A5071">
        <v>0</v>
      </c>
    </row>
    <row r="5072" spans="1:1" x14ac:dyDescent="0.2">
      <c r="A5072">
        <v>0</v>
      </c>
    </row>
    <row r="5073" spans="1:1" x14ac:dyDescent="0.2">
      <c r="A5073">
        <v>0</v>
      </c>
    </row>
    <row r="5074" spans="1:1" x14ac:dyDescent="0.2">
      <c r="A5074">
        <v>0</v>
      </c>
    </row>
    <row r="5075" spans="1:1" x14ac:dyDescent="0.2">
      <c r="A5075">
        <v>0</v>
      </c>
    </row>
    <row r="5076" spans="1:1" x14ac:dyDescent="0.2">
      <c r="A5076">
        <v>0</v>
      </c>
    </row>
    <row r="5077" spans="1:1" x14ac:dyDescent="0.2">
      <c r="A5077">
        <v>0</v>
      </c>
    </row>
    <row r="5078" spans="1:1" x14ac:dyDescent="0.2">
      <c r="A5078">
        <v>0</v>
      </c>
    </row>
    <row r="5079" spans="1:1" x14ac:dyDescent="0.2">
      <c r="A5079">
        <v>0</v>
      </c>
    </row>
    <row r="5080" spans="1:1" x14ac:dyDescent="0.2">
      <c r="A5080">
        <v>0</v>
      </c>
    </row>
    <row r="5081" spans="1:1" x14ac:dyDescent="0.2">
      <c r="A5081">
        <v>0</v>
      </c>
    </row>
    <row r="5082" spans="1:1" x14ac:dyDescent="0.2">
      <c r="A5082">
        <v>0</v>
      </c>
    </row>
    <row r="5083" spans="1:1" x14ac:dyDescent="0.2">
      <c r="A5083">
        <v>0</v>
      </c>
    </row>
    <row r="5084" spans="1:1" x14ac:dyDescent="0.2">
      <c r="A5084">
        <v>0</v>
      </c>
    </row>
    <row r="5085" spans="1:1" x14ac:dyDescent="0.2">
      <c r="A5085">
        <v>0</v>
      </c>
    </row>
    <row r="5086" spans="1:1" x14ac:dyDescent="0.2">
      <c r="A5086">
        <v>0</v>
      </c>
    </row>
    <row r="5087" spans="1:1" x14ac:dyDescent="0.2">
      <c r="A5087">
        <v>0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0</v>
      </c>
    </row>
    <row r="5109" spans="1:1" x14ac:dyDescent="0.2">
      <c r="A5109">
        <v>0</v>
      </c>
    </row>
    <row r="5110" spans="1:1" x14ac:dyDescent="0.2">
      <c r="A5110">
        <v>0</v>
      </c>
    </row>
    <row r="5111" spans="1:1" x14ac:dyDescent="0.2">
      <c r="A5111">
        <v>0</v>
      </c>
    </row>
    <row r="5112" spans="1:1" x14ac:dyDescent="0.2">
      <c r="A5112">
        <v>0</v>
      </c>
    </row>
    <row r="5113" spans="1:1" x14ac:dyDescent="0.2">
      <c r="A5113">
        <v>0</v>
      </c>
    </row>
    <row r="5114" spans="1:1" x14ac:dyDescent="0.2">
      <c r="A5114">
        <v>0</v>
      </c>
    </row>
    <row r="5115" spans="1:1" x14ac:dyDescent="0.2">
      <c r="A5115">
        <v>0</v>
      </c>
    </row>
    <row r="5116" spans="1:1" x14ac:dyDescent="0.2">
      <c r="A5116">
        <v>0</v>
      </c>
    </row>
    <row r="5117" spans="1:1" x14ac:dyDescent="0.2">
      <c r="A5117">
        <v>0</v>
      </c>
    </row>
    <row r="5118" spans="1:1" x14ac:dyDescent="0.2">
      <c r="A5118">
        <v>0</v>
      </c>
    </row>
    <row r="5119" spans="1:1" x14ac:dyDescent="0.2">
      <c r="A5119">
        <v>0</v>
      </c>
    </row>
    <row r="5120" spans="1:1" x14ac:dyDescent="0.2">
      <c r="A5120">
        <v>0</v>
      </c>
    </row>
    <row r="5121" spans="1:1" x14ac:dyDescent="0.2">
      <c r="A5121">
        <v>0</v>
      </c>
    </row>
    <row r="5122" spans="1:1" x14ac:dyDescent="0.2">
      <c r="A5122">
        <v>0</v>
      </c>
    </row>
    <row r="5123" spans="1:1" x14ac:dyDescent="0.2">
      <c r="A5123">
        <v>0</v>
      </c>
    </row>
    <row r="5124" spans="1:1" x14ac:dyDescent="0.2">
      <c r="A5124">
        <v>0</v>
      </c>
    </row>
    <row r="5125" spans="1:1" x14ac:dyDescent="0.2">
      <c r="A5125">
        <v>0</v>
      </c>
    </row>
    <row r="5126" spans="1:1" x14ac:dyDescent="0.2">
      <c r="A5126">
        <v>0</v>
      </c>
    </row>
    <row r="5127" spans="1:1" x14ac:dyDescent="0.2">
      <c r="A5127">
        <v>0</v>
      </c>
    </row>
    <row r="5128" spans="1:1" x14ac:dyDescent="0.2">
      <c r="A5128">
        <v>0</v>
      </c>
    </row>
    <row r="5129" spans="1:1" x14ac:dyDescent="0.2">
      <c r="A5129">
        <v>0</v>
      </c>
    </row>
    <row r="5130" spans="1:1" x14ac:dyDescent="0.2">
      <c r="A5130">
        <v>0</v>
      </c>
    </row>
    <row r="5131" spans="1:1" x14ac:dyDescent="0.2">
      <c r="A5131">
        <v>0</v>
      </c>
    </row>
    <row r="5132" spans="1:1" x14ac:dyDescent="0.2">
      <c r="A5132">
        <v>0</v>
      </c>
    </row>
    <row r="5133" spans="1:1" x14ac:dyDescent="0.2">
      <c r="A5133">
        <v>0</v>
      </c>
    </row>
    <row r="5134" spans="1:1" x14ac:dyDescent="0.2">
      <c r="A5134">
        <v>0</v>
      </c>
    </row>
    <row r="5135" spans="1:1" x14ac:dyDescent="0.2">
      <c r="A5135">
        <v>0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0</v>
      </c>
    </row>
    <row r="5157" spans="1:1" x14ac:dyDescent="0.2">
      <c r="A5157">
        <v>0</v>
      </c>
    </row>
    <row r="5158" spans="1:1" x14ac:dyDescent="0.2">
      <c r="A5158">
        <v>0</v>
      </c>
    </row>
    <row r="5159" spans="1:1" x14ac:dyDescent="0.2">
      <c r="A5159">
        <v>0</v>
      </c>
    </row>
    <row r="5160" spans="1:1" x14ac:dyDescent="0.2">
      <c r="A5160">
        <v>0</v>
      </c>
    </row>
    <row r="5161" spans="1:1" x14ac:dyDescent="0.2">
      <c r="A5161">
        <v>0</v>
      </c>
    </row>
    <row r="5162" spans="1:1" x14ac:dyDescent="0.2">
      <c r="A5162">
        <v>0</v>
      </c>
    </row>
    <row r="5163" spans="1:1" x14ac:dyDescent="0.2">
      <c r="A5163">
        <v>0</v>
      </c>
    </row>
    <row r="5164" spans="1:1" x14ac:dyDescent="0.2">
      <c r="A5164">
        <v>0</v>
      </c>
    </row>
    <row r="5165" spans="1:1" x14ac:dyDescent="0.2">
      <c r="A5165">
        <v>0</v>
      </c>
    </row>
    <row r="5166" spans="1:1" x14ac:dyDescent="0.2">
      <c r="A5166">
        <v>0</v>
      </c>
    </row>
    <row r="5167" spans="1:1" x14ac:dyDescent="0.2">
      <c r="A5167">
        <v>0</v>
      </c>
    </row>
    <row r="5168" spans="1:1" x14ac:dyDescent="0.2">
      <c r="A5168">
        <v>0</v>
      </c>
    </row>
    <row r="5169" spans="1:1" x14ac:dyDescent="0.2">
      <c r="A5169">
        <v>0</v>
      </c>
    </row>
    <row r="5170" spans="1:1" x14ac:dyDescent="0.2">
      <c r="A5170">
        <v>0</v>
      </c>
    </row>
    <row r="5171" spans="1:1" x14ac:dyDescent="0.2">
      <c r="A5171">
        <v>0</v>
      </c>
    </row>
    <row r="5172" spans="1:1" x14ac:dyDescent="0.2">
      <c r="A5172">
        <v>0</v>
      </c>
    </row>
    <row r="5173" spans="1:1" x14ac:dyDescent="0.2">
      <c r="A5173">
        <v>0</v>
      </c>
    </row>
    <row r="5174" spans="1:1" x14ac:dyDescent="0.2">
      <c r="A5174">
        <v>0</v>
      </c>
    </row>
    <row r="5175" spans="1:1" x14ac:dyDescent="0.2">
      <c r="A5175">
        <v>0</v>
      </c>
    </row>
    <row r="5176" spans="1:1" x14ac:dyDescent="0.2">
      <c r="A5176">
        <v>0</v>
      </c>
    </row>
    <row r="5177" spans="1:1" x14ac:dyDescent="0.2">
      <c r="A5177">
        <v>0</v>
      </c>
    </row>
    <row r="5178" spans="1:1" x14ac:dyDescent="0.2">
      <c r="A5178">
        <v>0</v>
      </c>
    </row>
    <row r="5179" spans="1:1" x14ac:dyDescent="0.2">
      <c r="A5179">
        <v>0</v>
      </c>
    </row>
    <row r="5180" spans="1:1" x14ac:dyDescent="0.2">
      <c r="A5180">
        <v>0</v>
      </c>
    </row>
    <row r="5181" spans="1:1" x14ac:dyDescent="0.2">
      <c r="A5181">
        <v>0</v>
      </c>
    </row>
    <row r="5182" spans="1:1" x14ac:dyDescent="0.2">
      <c r="A5182">
        <v>0</v>
      </c>
    </row>
    <row r="5183" spans="1:1" x14ac:dyDescent="0.2">
      <c r="A5183">
        <v>0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0</v>
      </c>
    </row>
    <row r="5205" spans="1:1" x14ac:dyDescent="0.2">
      <c r="A5205">
        <v>0</v>
      </c>
    </row>
    <row r="5206" spans="1:1" x14ac:dyDescent="0.2">
      <c r="A5206">
        <v>0</v>
      </c>
    </row>
    <row r="5207" spans="1:1" x14ac:dyDescent="0.2">
      <c r="A5207">
        <v>0</v>
      </c>
    </row>
    <row r="5208" spans="1:1" x14ac:dyDescent="0.2">
      <c r="A5208">
        <v>0</v>
      </c>
    </row>
    <row r="5209" spans="1:1" x14ac:dyDescent="0.2">
      <c r="A5209">
        <v>0</v>
      </c>
    </row>
    <row r="5210" spans="1:1" x14ac:dyDescent="0.2">
      <c r="A5210">
        <v>0</v>
      </c>
    </row>
    <row r="5211" spans="1:1" x14ac:dyDescent="0.2">
      <c r="A5211">
        <v>0</v>
      </c>
    </row>
    <row r="5212" spans="1:1" x14ac:dyDescent="0.2">
      <c r="A5212">
        <v>0</v>
      </c>
    </row>
    <row r="5213" spans="1:1" x14ac:dyDescent="0.2">
      <c r="A5213">
        <v>0</v>
      </c>
    </row>
    <row r="5214" spans="1:1" x14ac:dyDescent="0.2">
      <c r="A5214">
        <v>0</v>
      </c>
    </row>
    <row r="5215" spans="1:1" x14ac:dyDescent="0.2">
      <c r="A5215">
        <v>0</v>
      </c>
    </row>
    <row r="5216" spans="1:1" x14ac:dyDescent="0.2">
      <c r="A5216">
        <v>0</v>
      </c>
    </row>
    <row r="5217" spans="1:1" x14ac:dyDescent="0.2">
      <c r="A5217">
        <v>0</v>
      </c>
    </row>
    <row r="5218" spans="1:1" x14ac:dyDescent="0.2">
      <c r="A5218">
        <v>0</v>
      </c>
    </row>
    <row r="5219" spans="1:1" x14ac:dyDescent="0.2">
      <c r="A5219">
        <v>0</v>
      </c>
    </row>
    <row r="5220" spans="1:1" x14ac:dyDescent="0.2">
      <c r="A5220">
        <v>0</v>
      </c>
    </row>
    <row r="5221" spans="1:1" x14ac:dyDescent="0.2">
      <c r="A5221">
        <v>0</v>
      </c>
    </row>
    <row r="5222" spans="1:1" x14ac:dyDescent="0.2">
      <c r="A5222">
        <v>0</v>
      </c>
    </row>
    <row r="5223" spans="1:1" x14ac:dyDescent="0.2">
      <c r="A5223">
        <v>0</v>
      </c>
    </row>
    <row r="5224" spans="1:1" x14ac:dyDescent="0.2">
      <c r="A5224">
        <v>0</v>
      </c>
    </row>
    <row r="5225" spans="1:1" x14ac:dyDescent="0.2">
      <c r="A5225">
        <v>0</v>
      </c>
    </row>
    <row r="5226" spans="1:1" x14ac:dyDescent="0.2">
      <c r="A5226">
        <v>0</v>
      </c>
    </row>
    <row r="5227" spans="1:1" x14ac:dyDescent="0.2">
      <c r="A5227">
        <v>0</v>
      </c>
    </row>
    <row r="5228" spans="1:1" x14ac:dyDescent="0.2">
      <c r="A5228">
        <v>0</v>
      </c>
    </row>
    <row r="5229" spans="1:1" x14ac:dyDescent="0.2">
      <c r="A5229">
        <v>0</v>
      </c>
    </row>
    <row r="5230" spans="1:1" x14ac:dyDescent="0.2">
      <c r="A5230">
        <v>0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0</v>
      </c>
    </row>
    <row r="5253" spans="1:1" x14ac:dyDescent="0.2">
      <c r="A5253">
        <v>0</v>
      </c>
    </row>
    <row r="5254" spans="1:1" x14ac:dyDescent="0.2">
      <c r="A5254">
        <v>0</v>
      </c>
    </row>
    <row r="5255" spans="1:1" x14ac:dyDescent="0.2">
      <c r="A5255">
        <v>0</v>
      </c>
    </row>
    <row r="5256" spans="1:1" x14ac:dyDescent="0.2">
      <c r="A5256">
        <v>0</v>
      </c>
    </row>
    <row r="5257" spans="1:1" x14ac:dyDescent="0.2">
      <c r="A5257">
        <v>0</v>
      </c>
    </row>
    <row r="5258" spans="1:1" x14ac:dyDescent="0.2">
      <c r="A5258">
        <v>0</v>
      </c>
    </row>
    <row r="5259" spans="1:1" x14ac:dyDescent="0.2">
      <c r="A5259">
        <v>0</v>
      </c>
    </row>
    <row r="5260" spans="1:1" x14ac:dyDescent="0.2">
      <c r="A5260">
        <v>0</v>
      </c>
    </row>
    <row r="5261" spans="1:1" x14ac:dyDescent="0.2">
      <c r="A5261">
        <v>0</v>
      </c>
    </row>
    <row r="5262" spans="1:1" x14ac:dyDescent="0.2">
      <c r="A5262">
        <v>0</v>
      </c>
    </row>
    <row r="5263" spans="1:1" x14ac:dyDescent="0.2">
      <c r="A5263">
        <v>0</v>
      </c>
    </row>
    <row r="5264" spans="1:1" x14ac:dyDescent="0.2">
      <c r="A5264">
        <v>0</v>
      </c>
    </row>
    <row r="5265" spans="1:1" x14ac:dyDescent="0.2">
      <c r="A5265">
        <v>0</v>
      </c>
    </row>
    <row r="5266" spans="1:1" x14ac:dyDescent="0.2">
      <c r="A5266">
        <v>0</v>
      </c>
    </row>
    <row r="5267" spans="1:1" x14ac:dyDescent="0.2">
      <c r="A5267">
        <v>0</v>
      </c>
    </row>
    <row r="5268" spans="1:1" x14ac:dyDescent="0.2">
      <c r="A5268">
        <v>0</v>
      </c>
    </row>
    <row r="5269" spans="1:1" x14ac:dyDescent="0.2">
      <c r="A5269">
        <v>0</v>
      </c>
    </row>
    <row r="5270" spans="1:1" x14ac:dyDescent="0.2">
      <c r="A5270">
        <v>0</v>
      </c>
    </row>
    <row r="5271" spans="1:1" x14ac:dyDescent="0.2">
      <c r="A5271">
        <v>0</v>
      </c>
    </row>
    <row r="5272" spans="1:1" x14ac:dyDescent="0.2">
      <c r="A5272">
        <v>0</v>
      </c>
    </row>
    <row r="5273" spans="1:1" x14ac:dyDescent="0.2">
      <c r="A5273">
        <v>0</v>
      </c>
    </row>
    <row r="5274" spans="1:1" x14ac:dyDescent="0.2">
      <c r="A5274">
        <v>0</v>
      </c>
    </row>
    <row r="5275" spans="1:1" x14ac:dyDescent="0.2">
      <c r="A5275">
        <v>0</v>
      </c>
    </row>
    <row r="5276" spans="1:1" x14ac:dyDescent="0.2">
      <c r="A5276">
        <v>0</v>
      </c>
    </row>
    <row r="5277" spans="1:1" x14ac:dyDescent="0.2">
      <c r="A5277">
        <v>0</v>
      </c>
    </row>
    <row r="5278" spans="1:1" x14ac:dyDescent="0.2">
      <c r="A5278">
        <v>0</v>
      </c>
    </row>
    <row r="5279" spans="1:1" x14ac:dyDescent="0.2">
      <c r="A5279">
        <v>0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</v>
      </c>
    </row>
    <row r="5300" spans="1:1" x14ac:dyDescent="0.2">
      <c r="A5300">
        <v>0</v>
      </c>
    </row>
    <row r="5301" spans="1:1" x14ac:dyDescent="0.2">
      <c r="A5301">
        <v>0</v>
      </c>
    </row>
    <row r="5302" spans="1:1" x14ac:dyDescent="0.2">
      <c r="A5302">
        <v>0</v>
      </c>
    </row>
    <row r="5303" spans="1:1" x14ac:dyDescent="0.2">
      <c r="A5303">
        <v>0</v>
      </c>
    </row>
    <row r="5304" spans="1:1" x14ac:dyDescent="0.2">
      <c r="A5304">
        <v>0</v>
      </c>
    </row>
    <row r="5305" spans="1:1" x14ac:dyDescent="0.2">
      <c r="A5305">
        <v>0</v>
      </c>
    </row>
    <row r="5306" spans="1:1" x14ac:dyDescent="0.2">
      <c r="A5306">
        <v>0</v>
      </c>
    </row>
    <row r="5307" spans="1:1" x14ac:dyDescent="0.2">
      <c r="A5307">
        <v>0</v>
      </c>
    </row>
    <row r="5308" spans="1:1" x14ac:dyDescent="0.2">
      <c r="A5308">
        <v>0</v>
      </c>
    </row>
    <row r="5309" spans="1:1" x14ac:dyDescent="0.2">
      <c r="A5309">
        <v>0</v>
      </c>
    </row>
    <row r="5310" spans="1:1" x14ac:dyDescent="0.2">
      <c r="A5310">
        <v>0</v>
      </c>
    </row>
    <row r="5311" spans="1:1" x14ac:dyDescent="0.2">
      <c r="A5311">
        <v>0</v>
      </c>
    </row>
    <row r="5312" spans="1:1" x14ac:dyDescent="0.2">
      <c r="A5312">
        <v>0</v>
      </c>
    </row>
    <row r="5313" spans="1:1" x14ac:dyDescent="0.2">
      <c r="A5313">
        <v>0</v>
      </c>
    </row>
    <row r="5314" spans="1:1" x14ac:dyDescent="0.2">
      <c r="A5314">
        <v>0</v>
      </c>
    </row>
    <row r="5315" spans="1:1" x14ac:dyDescent="0.2">
      <c r="A5315">
        <v>0</v>
      </c>
    </row>
    <row r="5316" spans="1:1" x14ac:dyDescent="0.2">
      <c r="A5316">
        <v>0</v>
      </c>
    </row>
    <row r="5317" spans="1:1" x14ac:dyDescent="0.2">
      <c r="A5317">
        <v>0</v>
      </c>
    </row>
    <row r="5318" spans="1:1" x14ac:dyDescent="0.2">
      <c r="A5318">
        <v>0</v>
      </c>
    </row>
    <row r="5319" spans="1:1" x14ac:dyDescent="0.2">
      <c r="A5319">
        <v>0</v>
      </c>
    </row>
    <row r="5320" spans="1:1" x14ac:dyDescent="0.2">
      <c r="A5320">
        <v>0</v>
      </c>
    </row>
    <row r="5321" spans="1:1" x14ac:dyDescent="0.2">
      <c r="A5321">
        <v>0</v>
      </c>
    </row>
    <row r="5322" spans="1:1" x14ac:dyDescent="0.2">
      <c r="A5322">
        <v>0</v>
      </c>
    </row>
    <row r="5323" spans="1:1" x14ac:dyDescent="0.2">
      <c r="A5323">
        <v>0</v>
      </c>
    </row>
    <row r="5324" spans="1:1" x14ac:dyDescent="0.2">
      <c r="A5324">
        <v>0</v>
      </c>
    </row>
    <row r="5325" spans="1:1" x14ac:dyDescent="0.2">
      <c r="A5325">
        <v>0</v>
      </c>
    </row>
    <row r="5326" spans="1:1" x14ac:dyDescent="0.2">
      <c r="A5326">
        <v>0</v>
      </c>
    </row>
    <row r="5327" spans="1:1" x14ac:dyDescent="0.2">
      <c r="A5327">
        <v>0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</v>
      </c>
    </row>
    <row r="5348" spans="1:1" x14ac:dyDescent="0.2">
      <c r="A5348">
        <v>0</v>
      </c>
    </row>
    <row r="5349" spans="1:1" x14ac:dyDescent="0.2">
      <c r="A5349">
        <v>0</v>
      </c>
    </row>
    <row r="5350" spans="1:1" x14ac:dyDescent="0.2">
      <c r="A5350">
        <v>0</v>
      </c>
    </row>
    <row r="5351" spans="1:1" x14ac:dyDescent="0.2">
      <c r="A5351">
        <v>0</v>
      </c>
    </row>
    <row r="5352" spans="1:1" x14ac:dyDescent="0.2">
      <c r="A5352">
        <v>0</v>
      </c>
    </row>
    <row r="5353" spans="1:1" x14ac:dyDescent="0.2">
      <c r="A5353">
        <v>0</v>
      </c>
    </row>
    <row r="5354" spans="1:1" x14ac:dyDescent="0.2">
      <c r="A5354">
        <v>0</v>
      </c>
    </row>
    <row r="5355" spans="1:1" x14ac:dyDescent="0.2">
      <c r="A5355">
        <v>0</v>
      </c>
    </row>
    <row r="5356" spans="1:1" x14ac:dyDescent="0.2">
      <c r="A5356">
        <v>0</v>
      </c>
    </row>
    <row r="5357" spans="1:1" x14ac:dyDescent="0.2">
      <c r="A5357">
        <v>0</v>
      </c>
    </row>
    <row r="5358" spans="1:1" x14ac:dyDescent="0.2">
      <c r="A5358">
        <v>0</v>
      </c>
    </row>
    <row r="5359" spans="1:1" x14ac:dyDescent="0.2">
      <c r="A5359">
        <v>0</v>
      </c>
    </row>
    <row r="5360" spans="1:1" x14ac:dyDescent="0.2">
      <c r="A5360">
        <v>0</v>
      </c>
    </row>
    <row r="5361" spans="1:1" x14ac:dyDescent="0.2">
      <c r="A5361">
        <v>0</v>
      </c>
    </row>
    <row r="5362" spans="1:1" x14ac:dyDescent="0.2">
      <c r="A5362">
        <v>0</v>
      </c>
    </row>
    <row r="5363" spans="1:1" x14ac:dyDescent="0.2">
      <c r="A5363">
        <v>0</v>
      </c>
    </row>
    <row r="5364" spans="1:1" x14ac:dyDescent="0.2">
      <c r="A5364">
        <v>0</v>
      </c>
    </row>
    <row r="5365" spans="1:1" x14ac:dyDescent="0.2">
      <c r="A5365">
        <v>0</v>
      </c>
    </row>
    <row r="5366" spans="1:1" x14ac:dyDescent="0.2">
      <c r="A5366">
        <v>0</v>
      </c>
    </row>
    <row r="5367" spans="1:1" x14ac:dyDescent="0.2">
      <c r="A5367">
        <v>0</v>
      </c>
    </row>
    <row r="5368" spans="1:1" x14ac:dyDescent="0.2">
      <c r="A5368">
        <v>0</v>
      </c>
    </row>
    <row r="5369" spans="1:1" x14ac:dyDescent="0.2">
      <c r="A5369">
        <v>0</v>
      </c>
    </row>
    <row r="5370" spans="1:1" x14ac:dyDescent="0.2">
      <c r="A5370">
        <v>0</v>
      </c>
    </row>
    <row r="5371" spans="1:1" x14ac:dyDescent="0.2">
      <c r="A5371">
        <v>0</v>
      </c>
    </row>
    <row r="5372" spans="1:1" x14ac:dyDescent="0.2">
      <c r="A5372">
        <v>0</v>
      </c>
    </row>
    <row r="5373" spans="1:1" x14ac:dyDescent="0.2">
      <c r="A5373">
        <v>0</v>
      </c>
    </row>
    <row r="5374" spans="1:1" x14ac:dyDescent="0.2">
      <c r="A5374">
        <v>0</v>
      </c>
    </row>
    <row r="5375" spans="1:1" x14ac:dyDescent="0.2">
      <c r="A5375">
        <v>0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</v>
      </c>
    </row>
    <row r="5396" spans="1:1" x14ac:dyDescent="0.2">
      <c r="A5396">
        <v>0</v>
      </c>
    </row>
    <row r="5397" spans="1:1" x14ac:dyDescent="0.2">
      <c r="A5397">
        <v>0</v>
      </c>
    </row>
    <row r="5398" spans="1:1" x14ac:dyDescent="0.2">
      <c r="A5398">
        <v>0</v>
      </c>
    </row>
    <row r="5399" spans="1:1" x14ac:dyDescent="0.2">
      <c r="A5399">
        <v>0</v>
      </c>
    </row>
    <row r="5400" spans="1:1" x14ac:dyDescent="0.2">
      <c r="A5400">
        <v>0</v>
      </c>
    </row>
    <row r="5401" spans="1:1" x14ac:dyDescent="0.2">
      <c r="A5401">
        <v>0</v>
      </c>
    </row>
    <row r="5402" spans="1:1" x14ac:dyDescent="0.2">
      <c r="A5402">
        <v>0</v>
      </c>
    </row>
    <row r="5403" spans="1:1" x14ac:dyDescent="0.2">
      <c r="A5403">
        <v>0</v>
      </c>
    </row>
    <row r="5404" spans="1:1" x14ac:dyDescent="0.2">
      <c r="A5404">
        <v>0</v>
      </c>
    </row>
    <row r="5405" spans="1:1" x14ac:dyDescent="0.2">
      <c r="A5405">
        <v>0</v>
      </c>
    </row>
    <row r="5406" spans="1:1" x14ac:dyDescent="0.2">
      <c r="A5406">
        <v>0</v>
      </c>
    </row>
    <row r="5407" spans="1:1" x14ac:dyDescent="0.2">
      <c r="A5407">
        <v>0</v>
      </c>
    </row>
    <row r="5408" spans="1:1" x14ac:dyDescent="0.2">
      <c r="A5408">
        <v>0</v>
      </c>
    </row>
    <row r="5409" spans="1:1" x14ac:dyDescent="0.2">
      <c r="A5409">
        <v>0</v>
      </c>
    </row>
    <row r="5410" spans="1:1" x14ac:dyDescent="0.2">
      <c r="A5410">
        <v>0</v>
      </c>
    </row>
    <row r="5411" spans="1:1" x14ac:dyDescent="0.2">
      <c r="A5411">
        <v>0</v>
      </c>
    </row>
    <row r="5412" spans="1:1" x14ac:dyDescent="0.2">
      <c r="A5412">
        <v>0</v>
      </c>
    </row>
    <row r="5413" spans="1:1" x14ac:dyDescent="0.2">
      <c r="A5413">
        <v>0</v>
      </c>
    </row>
    <row r="5414" spans="1:1" x14ac:dyDescent="0.2">
      <c r="A5414">
        <v>0</v>
      </c>
    </row>
    <row r="5415" spans="1:1" x14ac:dyDescent="0.2">
      <c r="A5415">
        <v>0</v>
      </c>
    </row>
    <row r="5416" spans="1:1" x14ac:dyDescent="0.2">
      <c r="A5416">
        <v>0</v>
      </c>
    </row>
    <row r="5417" spans="1:1" x14ac:dyDescent="0.2">
      <c r="A5417">
        <v>0</v>
      </c>
    </row>
    <row r="5418" spans="1:1" x14ac:dyDescent="0.2">
      <c r="A5418">
        <v>0</v>
      </c>
    </row>
    <row r="5419" spans="1:1" x14ac:dyDescent="0.2">
      <c r="A5419">
        <v>0</v>
      </c>
    </row>
    <row r="5420" spans="1:1" x14ac:dyDescent="0.2">
      <c r="A5420">
        <v>0</v>
      </c>
    </row>
    <row r="5421" spans="1:1" x14ac:dyDescent="0.2">
      <c r="A5421">
        <v>0</v>
      </c>
    </row>
    <row r="5422" spans="1:1" x14ac:dyDescent="0.2">
      <c r="A5422">
        <v>0</v>
      </c>
    </row>
    <row r="5423" spans="1:1" x14ac:dyDescent="0.2">
      <c r="A5423">
        <v>0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</v>
      </c>
    </row>
    <row r="5444" spans="1:1" x14ac:dyDescent="0.2">
      <c r="A5444">
        <v>0</v>
      </c>
    </row>
    <row r="5445" spans="1:1" x14ac:dyDescent="0.2">
      <c r="A5445">
        <v>0</v>
      </c>
    </row>
    <row r="5446" spans="1:1" x14ac:dyDescent="0.2">
      <c r="A5446">
        <v>0</v>
      </c>
    </row>
    <row r="5447" spans="1:1" x14ac:dyDescent="0.2">
      <c r="A5447">
        <v>0</v>
      </c>
    </row>
    <row r="5448" spans="1:1" x14ac:dyDescent="0.2">
      <c r="A5448">
        <v>0</v>
      </c>
    </row>
    <row r="5449" spans="1:1" x14ac:dyDescent="0.2">
      <c r="A5449">
        <v>0</v>
      </c>
    </row>
    <row r="5450" spans="1:1" x14ac:dyDescent="0.2">
      <c r="A5450">
        <v>0</v>
      </c>
    </row>
    <row r="5451" spans="1:1" x14ac:dyDescent="0.2">
      <c r="A5451">
        <v>0</v>
      </c>
    </row>
    <row r="5452" spans="1:1" x14ac:dyDescent="0.2">
      <c r="A5452">
        <v>0</v>
      </c>
    </row>
    <row r="5453" spans="1:1" x14ac:dyDescent="0.2">
      <c r="A5453">
        <v>0</v>
      </c>
    </row>
    <row r="5454" spans="1:1" x14ac:dyDescent="0.2">
      <c r="A5454">
        <v>0</v>
      </c>
    </row>
    <row r="5455" spans="1:1" x14ac:dyDescent="0.2">
      <c r="A5455">
        <v>0</v>
      </c>
    </row>
    <row r="5456" spans="1:1" x14ac:dyDescent="0.2">
      <c r="A5456">
        <v>0</v>
      </c>
    </row>
    <row r="5457" spans="1:1" x14ac:dyDescent="0.2">
      <c r="A5457">
        <v>0</v>
      </c>
    </row>
    <row r="5458" spans="1:1" x14ac:dyDescent="0.2">
      <c r="A5458">
        <v>0</v>
      </c>
    </row>
    <row r="5459" spans="1:1" x14ac:dyDescent="0.2">
      <c r="A5459">
        <v>0</v>
      </c>
    </row>
    <row r="5460" spans="1:1" x14ac:dyDescent="0.2">
      <c r="A5460">
        <v>0</v>
      </c>
    </row>
    <row r="5461" spans="1:1" x14ac:dyDescent="0.2">
      <c r="A5461">
        <v>0</v>
      </c>
    </row>
    <row r="5462" spans="1:1" x14ac:dyDescent="0.2">
      <c r="A5462">
        <v>0</v>
      </c>
    </row>
    <row r="5463" spans="1:1" x14ac:dyDescent="0.2">
      <c r="A5463">
        <v>0</v>
      </c>
    </row>
    <row r="5464" spans="1:1" x14ac:dyDescent="0.2">
      <c r="A5464">
        <v>0</v>
      </c>
    </row>
    <row r="5465" spans="1:1" x14ac:dyDescent="0.2">
      <c r="A5465">
        <v>0</v>
      </c>
    </row>
    <row r="5466" spans="1:1" x14ac:dyDescent="0.2">
      <c r="A5466">
        <v>0</v>
      </c>
    </row>
    <row r="5467" spans="1:1" x14ac:dyDescent="0.2">
      <c r="A5467">
        <v>0</v>
      </c>
    </row>
    <row r="5468" spans="1:1" x14ac:dyDescent="0.2">
      <c r="A5468">
        <v>0</v>
      </c>
    </row>
    <row r="5469" spans="1:1" x14ac:dyDescent="0.2">
      <c r="A5469">
        <v>0</v>
      </c>
    </row>
    <row r="5470" spans="1:1" x14ac:dyDescent="0.2">
      <c r="A5470">
        <v>0</v>
      </c>
    </row>
    <row r="5471" spans="1:1" x14ac:dyDescent="0.2">
      <c r="A5471">
        <v>0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</v>
      </c>
    </row>
    <row r="5492" spans="1:1" x14ac:dyDescent="0.2">
      <c r="A5492">
        <v>0</v>
      </c>
    </row>
    <row r="5493" spans="1:1" x14ac:dyDescent="0.2">
      <c r="A5493">
        <v>0</v>
      </c>
    </row>
    <row r="5494" spans="1:1" x14ac:dyDescent="0.2">
      <c r="A5494">
        <v>0</v>
      </c>
    </row>
    <row r="5495" spans="1:1" x14ac:dyDescent="0.2">
      <c r="A5495">
        <v>0</v>
      </c>
    </row>
    <row r="5496" spans="1:1" x14ac:dyDescent="0.2">
      <c r="A5496">
        <v>0</v>
      </c>
    </row>
    <row r="5497" spans="1:1" x14ac:dyDescent="0.2">
      <c r="A5497">
        <v>0</v>
      </c>
    </row>
    <row r="5498" spans="1:1" x14ac:dyDescent="0.2">
      <c r="A5498">
        <v>0</v>
      </c>
    </row>
    <row r="5499" spans="1:1" x14ac:dyDescent="0.2">
      <c r="A5499">
        <v>0</v>
      </c>
    </row>
    <row r="5500" spans="1:1" x14ac:dyDescent="0.2">
      <c r="A5500">
        <v>0</v>
      </c>
    </row>
    <row r="5501" spans="1:1" x14ac:dyDescent="0.2">
      <c r="A5501">
        <v>0</v>
      </c>
    </row>
    <row r="5502" spans="1:1" x14ac:dyDescent="0.2">
      <c r="A5502">
        <v>0</v>
      </c>
    </row>
    <row r="5503" spans="1:1" x14ac:dyDescent="0.2">
      <c r="A5503">
        <v>0</v>
      </c>
    </row>
    <row r="5504" spans="1:1" x14ac:dyDescent="0.2">
      <c r="A5504">
        <v>0</v>
      </c>
    </row>
    <row r="5505" spans="1:1" x14ac:dyDescent="0.2">
      <c r="A5505">
        <v>0</v>
      </c>
    </row>
    <row r="5506" spans="1:1" x14ac:dyDescent="0.2">
      <c r="A5506">
        <v>0</v>
      </c>
    </row>
    <row r="5507" spans="1:1" x14ac:dyDescent="0.2">
      <c r="A5507">
        <v>0</v>
      </c>
    </row>
    <row r="5508" spans="1:1" x14ac:dyDescent="0.2">
      <c r="A5508">
        <v>0</v>
      </c>
    </row>
    <row r="5509" spans="1:1" x14ac:dyDescent="0.2">
      <c r="A5509">
        <v>0</v>
      </c>
    </row>
    <row r="5510" spans="1:1" x14ac:dyDescent="0.2">
      <c r="A5510">
        <v>0</v>
      </c>
    </row>
    <row r="5511" spans="1:1" x14ac:dyDescent="0.2">
      <c r="A5511">
        <v>0</v>
      </c>
    </row>
    <row r="5512" spans="1:1" x14ac:dyDescent="0.2">
      <c r="A5512">
        <v>0</v>
      </c>
    </row>
    <row r="5513" spans="1:1" x14ac:dyDescent="0.2">
      <c r="A5513">
        <v>0</v>
      </c>
    </row>
    <row r="5514" spans="1:1" x14ac:dyDescent="0.2">
      <c r="A5514">
        <v>0</v>
      </c>
    </row>
    <row r="5515" spans="1:1" x14ac:dyDescent="0.2">
      <c r="A5515">
        <v>0</v>
      </c>
    </row>
    <row r="5516" spans="1:1" x14ac:dyDescent="0.2">
      <c r="A5516">
        <v>0</v>
      </c>
    </row>
    <row r="5517" spans="1:1" x14ac:dyDescent="0.2">
      <c r="A5517">
        <v>0</v>
      </c>
    </row>
    <row r="5518" spans="1:1" x14ac:dyDescent="0.2">
      <c r="A5518">
        <v>0</v>
      </c>
    </row>
    <row r="5519" spans="1:1" x14ac:dyDescent="0.2">
      <c r="A5519">
        <v>0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</v>
      </c>
    </row>
    <row r="5540" spans="1:1" x14ac:dyDescent="0.2">
      <c r="A5540">
        <v>0</v>
      </c>
    </row>
    <row r="5541" spans="1:1" x14ac:dyDescent="0.2">
      <c r="A5541">
        <v>0</v>
      </c>
    </row>
    <row r="5542" spans="1:1" x14ac:dyDescent="0.2">
      <c r="A5542">
        <v>0</v>
      </c>
    </row>
    <row r="5543" spans="1:1" x14ac:dyDescent="0.2">
      <c r="A5543">
        <v>0</v>
      </c>
    </row>
    <row r="5544" spans="1:1" x14ac:dyDescent="0.2">
      <c r="A5544">
        <v>0</v>
      </c>
    </row>
    <row r="5545" spans="1:1" x14ac:dyDescent="0.2">
      <c r="A5545">
        <v>0</v>
      </c>
    </row>
    <row r="5546" spans="1:1" x14ac:dyDescent="0.2">
      <c r="A5546">
        <v>0</v>
      </c>
    </row>
    <row r="5547" spans="1:1" x14ac:dyDescent="0.2">
      <c r="A5547">
        <v>0</v>
      </c>
    </row>
    <row r="5548" spans="1:1" x14ac:dyDescent="0.2">
      <c r="A5548">
        <v>0</v>
      </c>
    </row>
    <row r="5549" spans="1:1" x14ac:dyDescent="0.2">
      <c r="A5549">
        <v>0</v>
      </c>
    </row>
    <row r="5550" spans="1:1" x14ac:dyDescent="0.2">
      <c r="A5550">
        <v>0</v>
      </c>
    </row>
    <row r="5551" spans="1:1" x14ac:dyDescent="0.2">
      <c r="A5551">
        <v>0</v>
      </c>
    </row>
    <row r="5552" spans="1:1" x14ac:dyDescent="0.2">
      <c r="A5552">
        <v>0</v>
      </c>
    </row>
    <row r="5553" spans="1:1" x14ac:dyDescent="0.2">
      <c r="A5553">
        <v>0</v>
      </c>
    </row>
    <row r="5554" spans="1:1" x14ac:dyDescent="0.2">
      <c r="A5554">
        <v>0</v>
      </c>
    </row>
    <row r="5555" spans="1:1" x14ac:dyDescent="0.2">
      <c r="A5555">
        <v>0</v>
      </c>
    </row>
    <row r="5556" spans="1:1" x14ac:dyDescent="0.2">
      <c r="A5556">
        <v>0</v>
      </c>
    </row>
    <row r="5557" spans="1:1" x14ac:dyDescent="0.2">
      <c r="A5557">
        <v>0</v>
      </c>
    </row>
    <row r="5558" spans="1:1" x14ac:dyDescent="0.2">
      <c r="A5558">
        <v>0</v>
      </c>
    </row>
    <row r="5559" spans="1:1" x14ac:dyDescent="0.2">
      <c r="A5559">
        <v>0</v>
      </c>
    </row>
    <row r="5560" spans="1:1" x14ac:dyDescent="0.2">
      <c r="A5560">
        <v>0</v>
      </c>
    </row>
    <row r="5561" spans="1:1" x14ac:dyDescent="0.2">
      <c r="A5561">
        <v>0</v>
      </c>
    </row>
    <row r="5562" spans="1:1" x14ac:dyDescent="0.2">
      <c r="A5562">
        <v>0</v>
      </c>
    </row>
    <row r="5563" spans="1:1" x14ac:dyDescent="0.2">
      <c r="A5563">
        <v>0</v>
      </c>
    </row>
    <row r="5564" spans="1:1" x14ac:dyDescent="0.2">
      <c r="A5564">
        <v>0</v>
      </c>
    </row>
    <row r="5565" spans="1:1" x14ac:dyDescent="0.2">
      <c r="A5565">
        <v>0</v>
      </c>
    </row>
    <row r="5566" spans="1:1" x14ac:dyDescent="0.2">
      <c r="A5566">
        <v>0</v>
      </c>
    </row>
    <row r="5567" spans="1:1" x14ac:dyDescent="0.2">
      <c r="A5567">
        <v>0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</v>
      </c>
    </row>
    <row r="5588" spans="1:1" x14ac:dyDescent="0.2">
      <c r="A5588">
        <v>0</v>
      </c>
    </row>
    <row r="5589" spans="1:1" x14ac:dyDescent="0.2">
      <c r="A5589">
        <v>0</v>
      </c>
    </row>
    <row r="5590" spans="1:1" x14ac:dyDescent="0.2">
      <c r="A5590">
        <v>0</v>
      </c>
    </row>
    <row r="5591" spans="1:1" x14ac:dyDescent="0.2">
      <c r="A5591">
        <v>0</v>
      </c>
    </row>
    <row r="5592" spans="1:1" x14ac:dyDescent="0.2">
      <c r="A5592">
        <v>0</v>
      </c>
    </row>
    <row r="5593" spans="1:1" x14ac:dyDescent="0.2">
      <c r="A5593">
        <v>0</v>
      </c>
    </row>
    <row r="5594" spans="1:1" x14ac:dyDescent="0.2">
      <c r="A5594">
        <v>0</v>
      </c>
    </row>
    <row r="5595" spans="1:1" x14ac:dyDescent="0.2">
      <c r="A5595">
        <v>0</v>
      </c>
    </row>
    <row r="5596" spans="1:1" x14ac:dyDescent="0.2">
      <c r="A5596">
        <v>0</v>
      </c>
    </row>
    <row r="5597" spans="1:1" x14ac:dyDescent="0.2">
      <c r="A5597">
        <v>0</v>
      </c>
    </row>
    <row r="5598" spans="1:1" x14ac:dyDescent="0.2">
      <c r="A5598">
        <v>0</v>
      </c>
    </row>
    <row r="5599" spans="1:1" x14ac:dyDescent="0.2">
      <c r="A5599">
        <v>0</v>
      </c>
    </row>
    <row r="5600" spans="1:1" x14ac:dyDescent="0.2">
      <c r="A5600">
        <v>0</v>
      </c>
    </row>
    <row r="5601" spans="1:1" x14ac:dyDescent="0.2">
      <c r="A5601">
        <v>0</v>
      </c>
    </row>
    <row r="5602" spans="1:1" x14ac:dyDescent="0.2">
      <c r="A5602">
        <v>0</v>
      </c>
    </row>
    <row r="5603" spans="1:1" x14ac:dyDescent="0.2">
      <c r="A5603">
        <v>0</v>
      </c>
    </row>
    <row r="5604" spans="1:1" x14ac:dyDescent="0.2">
      <c r="A5604">
        <v>0</v>
      </c>
    </row>
    <row r="5605" spans="1:1" x14ac:dyDescent="0.2">
      <c r="A5605">
        <v>0</v>
      </c>
    </row>
    <row r="5606" spans="1:1" x14ac:dyDescent="0.2">
      <c r="A5606">
        <v>0</v>
      </c>
    </row>
    <row r="5607" spans="1:1" x14ac:dyDescent="0.2">
      <c r="A5607">
        <v>0</v>
      </c>
    </row>
    <row r="5608" spans="1:1" x14ac:dyDescent="0.2">
      <c r="A5608">
        <v>0</v>
      </c>
    </row>
    <row r="5609" spans="1:1" x14ac:dyDescent="0.2">
      <c r="A5609">
        <v>0</v>
      </c>
    </row>
    <row r="5610" spans="1:1" x14ac:dyDescent="0.2">
      <c r="A5610">
        <v>0</v>
      </c>
    </row>
    <row r="5611" spans="1:1" x14ac:dyDescent="0.2">
      <c r="A5611">
        <v>0</v>
      </c>
    </row>
    <row r="5612" spans="1:1" x14ac:dyDescent="0.2">
      <c r="A5612">
        <v>0</v>
      </c>
    </row>
    <row r="5613" spans="1:1" x14ac:dyDescent="0.2">
      <c r="A5613">
        <v>0</v>
      </c>
    </row>
    <row r="5614" spans="1:1" x14ac:dyDescent="0.2">
      <c r="A5614">
        <v>0</v>
      </c>
    </row>
    <row r="5615" spans="1:1" x14ac:dyDescent="0.2">
      <c r="A5615">
        <v>0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0</v>
      </c>
    </row>
    <row r="5636" spans="1:1" x14ac:dyDescent="0.2">
      <c r="A5636">
        <v>0</v>
      </c>
    </row>
    <row r="5637" spans="1:1" x14ac:dyDescent="0.2">
      <c r="A5637">
        <v>0</v>
      </c>
    </row>
    <row r="5638" spans="1:1" x14ac:dyDescent="0.2">
      <c r="A5638">
        <v>0</v>
      </c>
    </row>
    <row r="5639" spans="1:1" x14ac:dyDescent="0.2">
      <c r="A5639">
        <v>0</v>
      </c>
    </row>
    <row r="5640" spans="1:1" x14ac:dyDescent="0.2">
      <c r="A5640">
        <v>0</v>
      </c>
    </row>
    <row r="5641" spans="1:1" x14ac:dyDescent="0.2">
      <c r="A5641">
        <v>0</v>
      </c>
    </row>
    <row r="5642" spans="1:1" x14ac:dyDescent="0.2">
      <c r="A5642">
        <v>0</v>
      </c>
    </row>
    <row r="5643" spans="1:1" x14ac:dyDescent="0.2">
      <c r="A5643">
        <v>0</v>
      </c>
    </row>
    <row r="5644" spans="1:1" x14ac:dyDescent="0.2">
      <c r="A5644">
        <v>0</v>
      </c>
    </row>
    <row r="5645" spans="1:1" x14ac:dyDescent="0.2">
      <c r="A5645">
        <v>0</v>
      </c>
    </row>
    <row r="5646" spans="1:1" x14ac:dyDescent="0.2">
      <c r="A5646">
        <v>0</v>
      </c>
    </row>
    <row r="5647" spans="1:1" x14ac:dyDescent="0.2">
      <c r="A5647">
        <v>0</v>
      </c>
    </row>
    <row r="5648" spans="1:1" x14ac:dyDescent="0.2">
      <c r="A5648">
        <v>0</v>
      </c>
    </row>
    <row r="5649" spans="1:1" x14ac:dyDescent="0.2">
      <c r="A5649">
        <v>0</v>
      </c>
    </row>
    <row r="5650" spans="1:1" x14ac:dyDescent="0.2">
      <c r="A5650">
        <v>0</v>
      </c>
    </row>
    <row r="5651" spans="1:1" x14ac:dyDescent="0.2">
      <c r="A5651">
        <v>0</v>
      </c>
    </row>
    <row r="5652" spans="1:1" x14ac:dyDescent="0.2">
      <c r="A5652">
        <v>0</v>
      </c>
    </row>
    <row r="5653" spans="1:1" x14ac:dyDescent="0.2">
      <c r="A5653">
        <v>0</v>
      </c>
    </row>
    <row r="5654" spans="1:1" x14ac:dyDescent="0.2">
      <c r="A5654">
        <v>0</v>
      </c>
    </row>
    <row r="5655" spans="1:1" x14ac:dyDescent="0.2">
      <c r="A5655">
        <v>0</v>
      </c>
    </row>
    <row r="5656" spans="1:1" x14ac:dyDescent="0.2">
      <c r="A5656">
        <v>0</v>
      </c>
    </row>
    <row r="5657" spans="1:1" x14ac:dyDescent="0.2">
      <c r="A5657">
        <v>0</v>
      </c>
    </row>
    <row r="5658" spans="1:1" x14ac:dyDescent="0.2">
      <c r="A5658">
        <v>0</v>
      </c>
    </row>
    <row r="5659" spans="1:1" x14ac:dyDescent="0.2">
      <c r="A5659">
        <v>0</v>
      </c>
    </row>
    <row r="5660" spans="1:1" x14ac:dyDescent="0.2">
      <c r="A5660">
        <v>0</v>
      </c>
    </row>
    <row r="5661" spans="1:1" x14ac:dyDescent="0.2">
      <c r="A5661">
        <v>0</v>
      </c>
    </row>
    <row r="5662" spans="1:1" x14ac:dyDescent="0.2">
      <c r="A5662">
        <v>0</v>
      </c>
    </row>
    <row r="5663" spans="1:1" x14ac:dyDescent="0.2">
      <c r="A5663">
        <v>0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0</v>
      </c>
    </row>
    <row r="5684" spans="1:1" x14ac:dyDescent="0.2">
      <c r="A5684">
        <v>0</v>
      </c>
    </row>
    <row r="5685" spans="1:1" x14ac:dyDescent="0.2">
      <c r="A5685">
        <v>0</v>
      </c>
    </row>
    <row r="5686" spans="1:1" x14ac:dyDescent="0.2">
      <c r="A5686">
        <v>0</v>
      </c>
    </row>
    <row r="5687" spans="1:1" x14ac:dyDescent="0.2">
      <c r="A5687">
        <v>0</v>
      </c>
    </row>
    <row r="5688" spans="1:1" x14ac:dyDescent="0.2">
      <c r="A5688">
        <v>0</v>
      </c>
    </row>
    <row r="5689" spans="1:1" x14ac:dyDescent="0.2">
      <c r="A5689">
        <v>0</v>
      </c>
    </row>
    <row r="5690" spans="1:1" x14ac:dyDescent="0.2">
      <c r="A5690">
        <v>0</v>
      </c>
    </row>
    <row r="5691" spans="1:1" x14ac:dyDescent="0.2">
      <c r="A5691">
        <v>0</v>
      </c>
    </row>
    <row r="5692" spans="1:1" x14ac:dyDescent="0.2">
      <c r="A5692">
        <v>0</v>
      </c>
    </row>
    <row r="5693" spans="1:1" x14ac:dyDescent="0.2">
      <c r="A5693">
        <v>0</v>
      </c>
    </row>
    <row r="5694" spans="1:1" x14ac:dyDescent="0.2">
      <c r="A5694">
        <v>0</v>
      </c>
    </row>
    <row r="5695" spans="1:1" x14ac:dyDescent="0.2">
      <c r="A5695">
        <v>0</v>
      </c>
    </row>
    <row r="5696" spans="1:1" x14ac:dyDescent="0.2">
      <c r="A5696">
        <v>0</v>
      </c>
    </row>
    <row r="5697" spans="1:1" x14ac:dyDescent="0.2">
      <c r="A5697">
        <v>0</v>
      </c>
    </row>
    <row r="5698" spans="1:1" x14ac:dyDescent="0.2">
      <c r="A5698">
        <v>0</v>
      </c>
    </row>
    <row r="5699" spans="1:1" x14ac:dyDescent="0.2">
      <c r="A5699">
        <v>0</v>
      </c>
    </row>
    <row r="5700" spans="1:1" x14ac:dyDescent="0.2">
      <c r="A5700">
        <v>0</v>
      </c>
    </row>
    <row r="5701" spans="1:1" x14ac:dyDescent="0.2">
      <c r="A5701">
        <v>0</v>
      </c>
    </row>
    <row r="5702" spans="1:1" x14ac:dyDescent="0.2">
      <c r="A5702">
        <v>0</v>
      </c>
    </row>
    <row r="5703" spans="1:1" x14ac:dyDescent="0.2">
      <c r="A5703">
        <v>0</v>
      </c>
    </row>
    <row r="5704" spans="1:1" x14ac:dyDescent="0.2">
      <c r="A5704">
        <v>0</v>
      </c>
    </row>
    <row r="5705" spans="1:1" x14ac:dyDescent="0.2">
      <c r="A5705">
        <v>0</v>
      </c>
    </row>
    <row r="5706" spans="1:1" x14ac:dyDescent="0.2">
      <c r="A5706">
        <v>0</v>
      </c>
    </row>
    <row r="5707" spans="1:1" x14ac:dyDescent="0.2">
      <c r="A5707">
        <v>0</v>
      </c>
    </row>
    <row r="5708" spans="1:1" x14ac:dyDescent="0.2">
      <c r="A5708">
        <v>0</v>
      </c>
    </row>
    <row r="5709" spans="1:1" x14ac:dyDescent="0.2">
      <c r="A5709">
        <v>0</v>
      </c>
    </row>
    <row r="5710" spans="1:1" x14ac:dyDescent="0.2">
      <c r="A5710">
        <v>0</v>
      </c>
    </row>
    <row r="5711" spans="1:1" x14ac:dyDescent="0.2">
      <c r="A5711">
        <v>0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0</v>
      </c>
    </row>
    <row r="5732" spans="1:1" x14ac:dyDescent="0.2">
      <c r="A5732">
        <v>0</v>
      </c>
    </row>
    <row r="5733" spans="1:1" x14ac:dyDescent="0.2">
      <c r="A5733">
        <v>0</v>
      </c>
    </row>
    <row r="5734" spans="1:1" x14ac:dyDescent="0.2">
      <c r="A5734">
        <v>0</v>
      </c>
    </row>
    <row r="5735" spans="1:1" x14ac:dyDescent="0.2">
      <c r="A5735">
        <v>0</v>
      </c>
    </row>
    <row r="5736" spans="1:1" x14ac:dyDescent="0.2">
      <c r="A5736">
        <v>0</v>
      </c>
    </row>
    <row r="5737" spans="1:1" x14ac:dyDescent="0.2">
      <c r="A5737">
        <v>0</v>
      </c>
    </row>
    <row r="5738" spans="1:1" x14ac:dyDescent="0.2">
      <c r="A5738">
        <v>0</v>
      </c>
    </row>
    <row r="5739" spans="1:1" x14ac:dyDescent="0.2">
      <c r="A5739">
        <v>0</v>
      </c>
    </row>
    <row r="5740" spans="1:1" x14ac:dyDescent="0.2">
      <c r="A5740">
        <v>0</v>
      </c>
    </row>
    <row r="5741" spans="1:1" x14ac:dyDescent="0.2">
      <c r="A5741">
        <v>0</v>
      </c>
    </row>
    <row r="5742" spans="1:1" x14ac:dyDescent="0.2">
      <c r="A5742">
        <v>0</v>
      </c>
    </row>
    <row r="5743" spans="1:1" x14ac:dyDescent="0.2">
      <c r="A5743">
        <v>0</v>
      </c>
    </row>
    <row r="5744" spans="1:1" x14ac:dyDescent="0.2">
      <c r="A5744">
        <v>0</v>
      </c>
    </row>
    <row r="5745" spans="1:1" x14ac:dyDescent="0.2">
      <c r="A5745">
        <v>0</v>
      </c>
    </row>
    <row r="5746" spans="1:1" x14ac:dyDescent="0.2">
      <c r="A5746">
        <v>0</v>
      </c>
    </row>
    <row r="5747" spans="1:1" x14ac:dyDescent="0.2">
      <c r="A5747">
        <v>0</v>
      </c>
    </row>
    <row r="5748" spans="1:1" x14ac:dyDescent="0.2">
      <c r="A5748">
        <v>0</v>
      </c>
    </row>
    <row r="5749" spans="1:1" x14ac:dyDescent="0.2">
      <c r="A5749">
        <v>0</v>
      </c>
    </row>
    <row r="5750" spans="1:1" x14ac:dyDescent="0.2">
      <c r="A5750">
        <v>0</v>
      </c>
    </row>
    <row r="5751" spans="1:1" x14ac:dyDescent="0.2">
      <c r="A5751">
        <v>0</v>
      </c>
    </row>
    <row r="5752" spans="1:1" x14ac:dyDescent="0.2">
      <c r="A5752">
        <v>0</v>
      </c>
    </row>
    <row r="5753" spans="1:1" x14ac:dyDescent="0.2">
      <c r="A5753">
        <v>0</v>
      </c>
    </row>
    <row r="5754" spans="1:1" x14ac:dyDescent="0.2">
      <c r="A5754">
        <v>0</v>
      </c>
    </row>
    <row r="5755" spans="1:1" x14ac:dyDescent="0.2">
      <c r="A5755">
        <v>0</v>
      </c>
    </row>
    <row r="5756" spans="1:1" x14ac:dyDescent="0.2">
      <c r="A5756">
        <v>0</v>
      </c>
    </row>
    <row r="5757" spans="1:1" x14ac:dyDescent="0.2">
      <c r="A5757">
        <v>0</v>
      </c>
    </row>
    <row r="5758" spans="1:1" x14ac:dyDescent="0.2">
      <c r="A5758">
        <v>0</v>
      </c>
    </row>
    <row r="5759" spans="1:1" x14ac:dyDescent="0.2">
      <c r="A5759">
        <v>0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0</v>
      </c>
    </row>
    <row r="5780" spans="1:1" x14ac:dyDescent="0.2">
      <c r="A5780">
        <v>0</v>
      </c>
    </row>
    <row r="5781" spans="1:1" x14ac:dyDescent="0.2">
      <c r="A5781">
        <v>0</v>
      </c>
    </row>
    <row r="5782" spans="1:1" x14ac:dyDescent="0.2">
      <c r="A5782">
        <v>0</v>
      </c>
    </row>
    <row r="5783" spans="1:1" x14ac:dyDescent="0.2">
      <c r="A5783">
        <v>0</v>
      </c>
    </row>
    <row r="5784" spans="1:1" x14ac:dyDescent="0.2">
      <c r="A5784">
        <v>0</v>
      </c>
    </row>
    <row r="5785" spans="1:1" x14ac:dyDescent="0.2">
      <c r="A5785">
        <v>0</v>
      </c>
    </row>
    <row r="5786" spans="1:1" x14ac:dyDescent="0.2">
      <c r="A5786">
        <v>0</v>
      </c>
    </row>
    <row r="5787" spans="1:1" x14ac:dyDescent="0.2">
      <c r="A5787">
        <v>0</v>
      </c>
    </row>
    <row r="5788" spans="1:1" x14ac:dyDescent="0.2">
      <c r="A5788">
        <v>0</v>
      </c>
    </row>
    <row r="5789" spans="1:1" x14ac:dyDescent="0.2">
      <c r="A5789">
        <v>0</v>
      </c>
    </row>
    <row r="5790" spans="1:1" x14ac:dyDescent="0.2">
      <c r="A5790">
        <v>0</v>
      </c>
    </row>
    <row r="5791" spans="1:1" x14ac:dyDescent="0.2">
      <c r="A5791">
        <v>0</v>
      </c>
    </row>
    <row r="5792" spans="1:1" x14ac:dyDescent="0.2">
      <c r="A5792">
        <v>0</v>
      </c>
    </row>
    <row r="5793" spans="1:1" x14ac:dyDescent="0.2">
      <c r="A5793">
        <v>0</v>
      </c>
    </row>
    <row r="5794" spans="1:1" x14ac:dyDescent="0.2">
      <c r="A5794">
        <v>0</v>
      </c>
    </row>
    <row r="5795" spans="1:1" x14ac:dyDescent="0.2">
      <c r="A5795">
        <v>0</v>
      </c>
    </row>
    <row r="5796" spans="1:1" x14ac:dyDescent="0.2">
      <c r="A5796">
        <v>0</v>
      </c>
    </row>
    <row r="5797" spans="1:1" x14ac:dyDescent="0.2">
      <c r="A5797">
        <v>0</v>
      </c>
    </row>
    <row r="5798" spans="1:1" x14ac:dyDescent="0.2">
      <c r="A5798">
        <v>0</v>
      </c>
    </row>
    <row r="5799" spans="1:1" x14ac:dyDescent="0.2">
      <c r="A5799">
        <v>0</v>
      </c>
    </row>
    <row r="5800" spans="1:1" x14ac:dyDescent="0.2">
      <c r="A5800">
        <v>0</v>
      </c>
    </row>
    <row r="5801" spans="1:1" x14ac:dyDescent="0.2">
      <c r="A5801">
        <v>0</v>
      </c>
    </row>
    <row r="5802" spans="1:1" x14ac:dyDescent="0.2">
      <c r="A5802">
        <v>0</v>
      </c>
    </row>
    <row r="5803" spans="1:1" x14ac:dyDescent="0.2">
      <c r="A5803">
        <v>0</v>
      </c>
    </row>
    <row r="5804" spans="1:1" x14ac:dyDescent="0.2">
      <c r="A5804">
        <v>0</v>
      </c>
    </row>
    <row r="5805" spans="1:1" x14ac:dyDescent="0.2">
      <c r="A5805">
        <v>0</v>
      </c>
    </row>
    <row r="5806" spans="1:1" x14ac:dyDescent="0.2">
      <c r="A5806">
        <v>0</v>
      </c>
    </row>
    <row r="5807" spans="1:1" x14ac:dyDescent="0.2">
      <c r="A5807">
        <v>0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0</v>
      </c>
    </row>
    <row r="5828" spans="1:1" x14ac:dyDescent="0.2">
      <c r="A5828">
        <v>0</v>
      </c>
    </row>
    <row r="5829" spans="1:1" x14ac:dyDescent="0.2">
      <c r="A5829">
        <v>0</v>
      </c>
    </row>
    <row r="5830" spans="1:1" x14ac:dyDescent="0.2">
      <c r="A5830">
        <v>0</v>
      </c>
    </row>
    <row r="5831" spans="1:1" x14ac:dyDescent="0.2">
      <c r="A5831">
        <v>0</v>
      </c>
    </row>
    <row r="5832" spans="1:1" x14ac:dyDescent="0.2">
      <c r="A5832">
        <v>0</v>
      </c>
    </row>
    <row r="5833" spans="1:1" x14ac:dyDescent="0.2">
      <c r="A5833">
        <v>0</v>
      </c>
    </row>
    <row r="5834" spans="1:1" x14ac:dyDescent="0.2">
      <c r="A5834">
        <v>0</v>
      </c>
    </row>
    <row r="5835" spans="1:1" x14ac:dyDescent="0.2">
      <c r="A5835">
        <v>0</v>
      </c>
    </row>
    <row r="5836" spans="1:1" x14ac:dyDescent="0.2">
      <c r="A5836">
        <v>0</v>
      </c>
    </row>
    <row r="5837" spans="1:1" x14ac:dyDescent="0.2">
      <c r="A5837">
        <v>0</v>
      </c>
    </row>
    <row r="5838" spans="1:1" x14ac:dyDescent="0.2">
      <c r="A5838">
        <v>0</v>
      </c>
    </row>
    <row r="5839" spans="1:1" x14ac:dyDescent="0.2">
      <c r="A5839">
        <v>0</v>
      </c>
    </row>
    <row r="5840" spans="1:1" x14ac:dyDescent="0.2">
      <c r="A5840">
        <v>0</v>
      </c>
    </row>
    <row r="5841" spans="1:1" x14ac:dyDescent="0.2">
      <c r="A5841">
        <v>0</v>
      </c>
    </row>
    <row r="5842" spans="1:1" x14ac:dyDescent="0.2">
      <c r="A5842">
        <v>0</v>
      </c>
    </row>
    <row r="5843" spans="1:1" x14ac:dyDescent="0.2">
      <c r="A5843">
        <v>0</v>
      </c>
    </row>
    <row r="5844" spans="1:1" x14ac:dyDescent="0.2">
      <c r="A5844">
        <v>0</v>
      </c>
    </row>
    <row r="5845" spans="1:1" x14ac:dyDescent="0.2">
      <c r="A5845">
        <v>0</v>
      </c>
    </row>
    <row r="5846" spans="1:1" x14ac:dyDescent="0.2">
      <c r="A5846">
        <v>0</v>
      </c>
    </row>
    <row r="5847" spans="1:1" x14ac:dyDescent="0.2">
      <c r="A5847">
        <v>0</v>
      </c>
    </row>
    <row r="5848" spans="1:1" x14ac:dyDescent="0.2">
      <c r="A5848">
        <v>0</v>
      </c>
    </row>
    <row r="5849" spans="1:1" x14ac:dyDescent="0.2">
      <c r="A5849">
        <v>0</v>
      </c>
    </row>
    <row r="5850" spans="1:1" x14ac:dyDescent="0.2">
      <c r="A5850">
        <v>0</v>
      </c>
    </row>
    <row r="5851" spans="1:1" x14ac:dyDescent="0.2">
      <c r="A5851">
        <v>0</v>
      </c>
    </row>
    <row r="5852" spans="1:1" x14ac:dyDescent="0.2">
      <c r="A5852">
        <v>0</v>
      </c>
    </row>
    <row r="5853" spans="1:1" x14ac:dyDescent="0.2">
      <c r="A5853">
        <v>0</v>
      </c>
    </row>
    <row r="5854" spans="1:1" x14ac:dyDescent="0.2">
      <c r="A5854">
        <v>0</v>
      </c>
    </row>
    <row r="5855" spans="1:1" x14ac:dyDescent="0.2">
      <c r="A5855">
        <v>0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0</v>
      </c>
    </row>
    <row r="5876" spans="1:1" x14ac:dyDescent="0.2">
      <c r="A5876">
        <v>0</v>
      </c>
    </row>
    <row r="5877" spans="1:1" x14ac:dyDescent="0.2">
      <c r="A5877">
        <v>0</v>
      </c>
    </row>
    <row r="5878" spans="1:1" x14ac:dyDescent="0.2">
      <c r="A5878">
        <v>0</v>
      </c>
    </row>
    <row r="5879" spans="1:1" x14ac:dyDescent="0.2">
      <c r="A5879">
        <v>0</v>
      </c>
    </row>
    <row r="5880" spans="1:1" x14ac:dyDescent="0.2">
      <c r="A5880">
        <v>0</v>
      </c>
    </row>
    <row r="5881" spans="1:1" x14ac:dyDescent="0.2">
      <c r="A5881">
        <v>0</v>
      </c>
    </row>
    <row r="5882" spans="1:1" x14ac:dyDescent="0.2">
      <c r="A5882">
        <v>0</v>
      </c>
    </row>
    <row r="5883" spans="1:1" x14ac:dyDescent="0.2">
      <c r="A5883">
        <v>0</v>
      </c>
    </row>
    <row r="5884" spans="1:1" x14ac:dyDescent="0.2">
      <c r="A5884">
        <v>0</v>
      </c>
    </row>
    <row r="5885" spans="1:1" x14ac:dyDescent="0.2">
      <c r="A5885">
        <v>0</v>
      </c>
    </row>
    <row r="5886" spans="1:1" x14ac:dyDescent="0.2">
      <c r="A5886">
        <v>0</v>
      </c>
    </row>
    <row r="5887" spans="1:1" x14ac:dyDescent="0.2">
      <c r="A5887">
        <v>0</v>
      </c>
    </row>
    <row r="5888" spans="1:1" x14ac:dyDescent="0.2">
      <c r="A5888">
        <v>0</v>
      </c>
    </row>
    <row r="5889" spans="1:1" x14ac:dyDescent="0.2">
      <c r="A5889">
        <v>0</v>
      </c>
    </row>
    <row r="5890" spans="1:1" x14ac:dyDescent="0.2">
      <c r="A5890">
        <v>0</v>
      </c>
    </row>
    <row r="5891" spans="1:1" x14ac:dyDescent="0.2">
      <c r="A5891">
        <v>0</v>
      </c>
    </row>
    <row r="5892" spans="1:1" x14ac:dyDescent="0.2">
      <c r="A5892">
        <v>0</v>
      </c>
    </row>
    <row r="5893" spans="1:1" x14ac:dyDescent="0.2">
      <c r="A5893">
        <v>0</v>
      </c>
    </row>
    <row r="5894" spans="1:1" x14ac:dyDescent="0.2">
      <c r="A5894">
        <v>0</v>
      </c>
    </row>
    <row r="5895" spans="1:1" x14ac:dyDescent="0.2">
      <c r="A5895">
        <v>0</v>
      </c>
    </row>
    <row r="5896" spans="1:1" x14ac:dyDescent="0.2">
      <c r="A5896">
        <v>0</v>
      </c>
    </row>
    <row r="5897" spans="1:1" x14ac:dyDescent="0.2">
      <c r="A5897">
        <v>0</v>
      </c>
    </row>
    <row r="5898" spans="1:1" x14ac:dyDescent="0.2">
      <c r="A5898">
        <v>0</v>
      </c>
    </row>
    <row r="5899" spans="1:1" x14ac:dyDescent="0.2">
      <c r="A5899">
        <v>0</v>
      </c>
    </row>
    <row r="5900" spans="1:1" x14ac:dyDescent="0.2">
      <c r="A5900">
        <v>0</v>
      </c>
    </row>
    <row r="5901" spans="1:1" x14ac:dyDescent="0.2">
      <c r="A5901">
        <v>0</v>
      </c>
    </row>
    <row r="5902" spans="1:1" x14ac:dyDescent="0.2">
      <c r="A5902">
        <v>0</v>
      </c>
    </row>
    <row r="5903" spans="1:1" x14ac:dyDescent="0.2">
      <c r="A5903">
        <v>0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0</v>
      </c>
    </row>
    <row r="5924" spans="1:1" x14ac:dyDescent="0.2">
      <c r="A5924">
        <v>0</v>
      </c>
    </row>
    <row r="5925" spans="1:1" x14ac:dyDescent="0.2">
      <c r="A5925">
        <v>0</v>
      </c>
    </row>
    <row r="5926" spans="1:1" x14ac:dyDescent="0.2">
      <c r="A5926">
        <v>0</v>
      </c>
    </row>
    <row r="5927" spans="1:1" x14ac:dyDescent="0.2">
      <c r="A5927">
        <v>0</v>
      </c>
    </row>
    <row r="5928" spans="1:1" x14ac:dyDescent="0.2">
      <c r="A5928">
        <v>0</v>
      </c>
    </row>
    <row r="5929" spans="1:1" x14ac:dyDescent="0.2">
      <c r="A5929">
        <v>0</v>
      </c>
    </row>
    <row r="5930" spans="1:1" x14ac:dyDescent="0.2">
      <c r="A5930">
        <v>0</v>
      </c>
    </row>
    <row r="5931" spans="1:1" x14ac:dyDescent="0.2">
      <c r="A5931">
        <v>0</v>
      </c>
    </row>
    <row r="5932" spans="1:1" x14ac:dyDescent="0.2">
      <c r="A5932">
        <v>0</v>
      </c>
    </row>
    <row r="5933" spans="1:1" x14ac:dyDescent="0.2">
      <c r="A5933">
        <v>0</v>
      </c>
    </row>
    <row r="5934" spans="1:1" x14ac:dyDescent="0.2">
      <c r="A5934">
        <v>0</v>
      </c>
    </row>
    <row r="5935" spans="1:1" x14ac:dyDescent="0.2">
      <c r="A5935">
        <v>0</v>
      </c>
    </row>
    <row r="5936" spans="1:1" x14ac:dyDescent="0.2">
      <c r="A5936">
        <v>0</v>
      </c>
    </row>
    <row r="5937" spans="1:1" x14ac:dyDescent="0.2">
      <c r="A5937">
        <v>0</v>
      </c>
    </row>
    <row r="5938" spans="1:1" x14ac:dyDescent="0.2">
      <c r="A5938">
        <v>0</v>
      </c>
    </row>
    <row r="5939" spans="1:1" x14ac:dyDescent="0.2">
      <c r="A5939">
        <v>0</v>
      </c>
    </row>
    <row r="5940" spans="1:1" x14ac:dyDescent="0.2">
      <c r="A5940">
        <v>0</v>
      </c>
    </row>
    <row r="5941" spans="1:1" x14ac:dyDescent="0.2">
      <c r="A5941">
        <v>0</v>
      </c>
    </row>
    <row r="5942" spans="1:1" x14ac:dyDescent="0.2">
      <c r="A5942">
        <v>0</v>
      </c>
    </row>
    <row r="5943" spans="1:1" x14ac:dyDescent="0.2">
      <c r="A5943">
        <v>0</v>
      </c>
    </row>
    <row r="5944" spans="1:1" x14ac:dyDescent="0.2">
      <c r="A5944">
        <v>0</v>
      </c>
    </row>
    <row r="5945" spans="1:1" x14ac:dyDescent="0.2">
      <c r="A5945">
        <v>0</v>
      </c>
    </row>
    <row r="5946" spans="1:1" x14ac:dyDescent="0.2">
      <c r="A5946">
        <v>0</v>
      </c>
    </row>
    <row r="5947" spans="1:1" x14ac:dyDescent="0.2">
      <c r="A5947">
        <v>0</v>
      </c>
    </row>
    <row r="5948" spans="1:1" x14ac:dyDescent="0.2">
      <c r="A5948">
        <v>0</v>
      </c>
    </row>
    <row r="5949" spans="1:1" x14ac:dyDescent="0.2">
      <c r="A5949">
        <v>0</v>
      </c>
    </row>
    <row r="5950" spans="1:1" x14ac:dyDescent="0.2">
      <c r="A5950">
        <v>0</v>
      </c>
    </row>
    <row r="5951" spans="1:1" x14ac:dyDescent="0.2">
      <c r="A5951">
        <v>0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0</v>
      </c>
    </row>
    <row r="5972" spans="1:1" x14ac:dyDescent="0.2">
      <c r="A5972">
        <v>0</v>
      </c>
    </row>
    <row r="5973" spans="1:1" x14ac:dyDescent="0.2">
      <c r="A5973">
        <v>0</v>
      </c>
    </row>
    <row r="5974" spans="1:1" x14ac:dyDescent="0.2">
      <c r="A5974">
        <v>0</v>
      </c>
    </row>
    <row r="5975" spans="1:1" x14ac:dyDescent="0.2">
      <c r="A5975">
        <v>0</v>
      </c>
    </row>
    <row r="5976" spans="1:1" x14ac:dyDescent="0.2">
      <c r="A5976">
        <v>0</v>
      </c>
    </row>
    <row r="5977" spans="1:1" x14ac:dyDescent="0.2">
      <c r="A5977">
        <v>0</v>
      </c>
    </row>
    <row r="5978" spans="1:1" x14ac:dyDescent="0.2">
      <c r="A5978">
        <v>0</v>
      </c>
    </row>
    <row r="5979" spans="1:1" x14ac:dyDescent="0.2">
      <c r="A5979">
        <v>0</v>
      </c>
    </row>
    <row r="5980" spans="1:1" x14ac:dyDescent="0.2">
      <c r="A5980">
        <v>0</v>
      </c>
    </row>
    <row r="5981" spans="1:1" x14ac:dyDescent="0.2">
      <c r="A5981">
        <v>0</v>
      </c>
    </row>
    <row r="5982" spans="1:1" x14ac:dyDescent="0.2">
      <c r="A5982">
        <v>0</v>
      </c>
    </row>
    <row r="5983" spans="1:1" x14ac:dyDescent="0.2">
      <c r="A5983">
        <v>0</v>
      </c>
    </row>
    <row r="5984" spans="1:1" x14ac:dyDescent="0.2">
      <c r="A5984">
        <v>0</v>
      </c>
    </row>
    <row r="5985" spans="1:1" x14ac:dyDescent="0.2">
      <c r="A5985">
        <v>0</v>
      </c>
    </row>
    <row r="5986" spans="1:1" x14ac:dyDescent="0.2">
      <c r="A5986">
        <v>0</v>
      </c>
    </row>
    <row r="5987" spans="1:1" x14ac:dyDescent="0.2">
      <c r="A5987">
        <v>0</v>
      </c>
    </row>
    <row r="5988" spans="1:1" x14ac:dyDescent="0.2">
      <c r="A5988">
        <v>0</v>
      </c>
    </row>
    <row r="5989" spans="1:1" x14ac:dyDescent="0.2">
      <c r="A5989">
        <v>0</v>
      </c>
    </row>
    <row r="5990" spans="1:1" x14ac:dyDescent="0.2">
      <c r="A5990">
        <v>0</v>
      </c>
    </row>
    <row r="5991" spans="1:1" x14ac:dyDescent="0.2">
      <c r="A5991">
        <v>0</v>
      </c>
    </row>
    <row r="5992" spans="1:1" x14ac:dyDescent="0.2">
      <c r="A5992">
        <v>0</v>
      </c>
    </row>
    <row r="5993" spans="1:1" x14ac:dyDescent="0.2">
      <c r="A5993">
        <v>0</v>
      </c>
    </row>
    <row r="5994" spans="1:1" x14ac:dyDescent="0.2">
      <c r="A5994">
        <v>0</v>
      </c>
    </row>
    <row r="5995" spans="1:1" x14ac:dyDescent="0.2">
      <c r="A5995">
        <v>0</v>
      </c>
    </row>
    <row r="5996" spans="1:1" x14ac:dyDescent="0.2">
      <c r="A5996">
        <v>0</v>
      </c>
    </row>
    <row r="5997" spans="1:1" x14ac:dyDescent="0.2">
      <c r="A5997">
        <v>0</v>
      </c>
    </row>
    <row r="5998" spans="1:1" x14ac:dyDescent="0.2">
      <c r="A5998">
        <v>0</v>
      </c>
    </row>
    <row r="5999" spans="1:1" x14ac:dyDescent="0.2">
      <c r="A5999">
        <v>0</v>
      </c>
    </row>
    <row r="6000" spans="1:1" x14ac:dyDescent="0.2">
      <c r="A6000">
        <v>0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0</v>
      </c>
    </row>
    <row r="6020" spans="1:1" x14ac:dyDescent="0.2">
      <c r="A6020">
        <v>0</v>
      </c>
    </row>
    <row r="6021" spans="1:1" x14ac:dyDescent="0.2">
      <c r="A6021">
        <v>0</v>
      </c>
    </row>
    <row r="6022" spans="1:1" x14ac:dyDescent="0.2">
      <c r="A6022">
        <v>0</v>
      </c>
    </row>
    <row r="6023" spans="1:1" x14ac:dyDescent="0.2">
      <c r="A6023">
        <v>0</v>
      </c>
    </row>
    <row r="6024" spans="1:1" x14ac:dyDescent="0.2">
      <c r="A6024">
        <v>0</v>
      </c>
    </row>
    <row r="6025" spans="1:1" x14ac:dyDescent="0.2">
      <c r="A6025">
        <v>0</v>
      </c>
    </row>
    <row r="6026" spans="1:1" x14ac:dyDescent="0.2">
      <c r="A6026">
        <v>0</v>
      </c>
    </row>
    <row r="6027" spans="1:1" x14ac:dyDescent="0.2">
      <c r="A6027">
        <v>0</v>
      </c>
    </row>
    <row r="6028" spans="1:1" x14ac:dyDescent="0.2">
      <c r="A6028">
        <v>0</v>
      </c>
    </row>
    <row r="6029" spans="1:1" x14ac:dyDescent="0.2">
      <c r="A6029">
        <v>0</v>
      </c>
    </row>
    <row r="6030" spans="1:1" x14ac:dyDescent="0.2">
      <c r="A6030">
        <v>0</v>
      </c>
    </row>
    <row r="6031" spans="1:1" x14ac:dyDescent="0.2">
      <c r="A6031">
        <v>0</v>
      </c>
    </row>
    <row r="6032" spans="1:1" x14ac:dyDescent="0.2">
      <c r="A6032">
        <v>0</v>
      </c>
    </row>
    <row r="6033" spans="1:1" x14ac:dyDescent="0.2">
      <c r="A6033">
        <v>0</v>
      </c>
    </row>
    <row r="6034" spans="1:1" x14ac:dyDescent="0.2">
      <c r="A6034">
        <v>0</v>
      </c>
    </row>
    <row r="6035" spans="1:1" x14ac:dyDescent="0.2">
      <c r="A6035">
        <v>0</v>
      </c>
    </row>
    <row r="6036" spans="1:1" x14ac:dyDescent="0.2">
      <c r="A6036">
        <v>0</v>
      </c>
    </row>
    <row r="6037" spans="1:1" x14ac:dyDescent="0.2">
      <c r="A6037">
        <v>0</v>
      </c>
    </row>
    <row r="6038" spans="1:1" x14ac:dyDescent="0.2">
      <c r="A6038">
        <v>0</v>
      </c>
    </row>
    <row r="6039" spans="1:1" x14ac:dyDescent="0.2">
      <c r="A6039">
        <v>0</v>
      </c>
    </row>
    <row r="6040" spans="1:1" x14ac:dyDescent="0.2">
      <c r="A6040">
        <v>0</v>
      </c>
    </row>
    <row r="6041" spans="1:1" x14ac:dyDescent="0.2">
      <c r="A6041">
        <v>0</v>
      </c>
    </row>
    <row r="6042" spans="1:1" x14ac:dyDescent="0.2">
      <c r="A6042">
        <v>0</v>
      </c>
    </row>
    <row r="6043" spans="1:1" x14ac:dyDescent="0.2">
      <c r="A6043">
        <v>0</v>
      </c>
    </row>
    <row r="6044" spans="1:1" x14ac:dyDescent="0.2">
      <c r="A6044">
        <v>0</v>
      </c>
    </row>
    <row r="6045" spans="1:1" x14ac:dyDescent="0.2">
      <c r="A6045">
        <v>0</v>
      </c>
    </row>
    <row r="6046" spans="1:1" x14ac:dyDescent="0.2">
      <c r="A6046">
        <v>0</v>
      </c>
    </row>
    <row r="6047" spans="1:1" x14ac:dyDescent="0.2">
      <c r="A6047">
        <v>0</v>
      </c>
    </row>
    <row r="6048" spans="1:1" x14ac:dyDescent="0.2">
      <c r="A6048">
        <v>0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0</v>
      </c>
    </row>
    <row r="6068" spans="1:1" x14ac:dyDescent="0.2">
      <c r="A6068">
        <v>0</v>
      </c>
    </row>
    <row r="6069" spans="1:1" x14ac:dyDescent="0.2">
      <c r="A6069">
        <v>0</v>
      </c>
    </row>
    <row r="6070" spans="1:1" x14ac:dyDescent="0.2">
      <c r="A6070">
        <v>0</v>
      </c>
    </row>
    <row r="6071" spans="1:1" x14ac:dyDescent="0.2">
      <c r="A6071">
        <v>0</v>
      </c>
    </row>
    <row r="6072" spans="1:1" x14ac:dyDescent="0.2">
      <c r="A6072">
        <v>0</v>
      </c>
    </row>
    <row r="6073" spans="1:1" x14ac:dyDescent="0.2">
      <c r="A6073">
        <v>0</v>
      </c>
    </row>
    <row r="6074" spans="1:1" x14ac:dyDescent="0.2">
      <c r="A6074">
        <v>0</v>
      </c>
    </row>
    <row r="6075" spans="1:1" x14ac:dyDescent="0.2">
      <c r="A6075">
        <v>0</v>
      </c>
    </row>
    <row r="6076" spans="1:1" x14ac:dyDescent="0.2">
      <c r="A6076">
        <v>0</v>
      </c>
    </row>
    <row r="6077" spans="1:1" x14ac:dyDescent="0.2">
      <c r="A6077">
        <v>0</v>
      </c>
    </row>
    <row r="6078" spans="1:1" x14ac:dyDescent="0.2">
      <c r="A6078">
        <v>0</v>
      </c>
    </row>
    <row r="6079" spans="1:1" x14ac:dyDescent="0.2">
      <c r="A6079">
        <v>0</v>
      </c>
    </row>
    <row r="6080" spans="1:1" x14ac:dyDescent="0.2">
      <c r="A6080">
        <v>0</v>
      </c>
    </row>
    <row r="6081" spans="1:1" x14ac:dyDescent="0.2">
      <c r="A6081">
        <v>0</v>
      </c>
    </row>
    <row r="6082" spans="1:1" x14ac:dyDescent="0.2">
      <c r="A6082">
        <v>0</v>
      </c>
    </row>
    <row r="6083" spans="1:1" x14ac:dyDescent="0.2">
      <c r="A6083">
        <v>0</v>
      </c>
    </row>
    <row r="6084" spans="1:1" x14ac:dyDescent="0.2">
      <c r="A6084">
        <v>0</v>
      </c>
    </row>
    <row r="6085" spans="1:1" x14ac:dyDescent="0.2">
      <c r="A6085">
        <v>0</v>
      </c>
    </row>
    <row r="6086" spans="1:1" x14ac:dyDescent="0.2">
      <c r="A6086">
        <v>0</v>
      </c>
    </row>
    <row r="6087" spans="1:1" x14ac:dyDescent="0.2">
      <c r="A6087">
        <v>0</v>
      </c>
    </row>
    <row r="6088" spans="1:1" x14ac:dyDescent="0.2">
      <c r="A6088">
        <v>0</v>
      </c>
    </row>
    <row r="6089" spans="1:1" x14ac:dyDescent="0.2">
      <c r="A6089">
        <v>0</v>
      </c>
    </row>
    <row r="6090" spans="1:1" x14ac:dyDescent="0.2">
      <c r="A6090">
        <v>0</v>
      </c>
    </row>
    <row r="6091" spans="1:1" x14ac:dyDescent="0.2">
      <c r="A6091">
        <v>0</v>
      </c>
    </row>
    <row r="6092" spans="1:1" x14ac:dyDescent="0.2">
      <c r="A6092">
        <v>0</v>
      </c>
    </row>
    <row r="6093" spans="1:1" x14ac:dyDescent="0.2">
      <c r="A6093">
        <v>0</v>
      </c>
    </row>
    <row r="6094" spans="1:1" x14ac:dyDescent="0.2">
      <c r="A6094">
        <v>0</v>
      </c>
    </row>
    <row r="6095" spans="1:1" x14ac:dyDescent="0.2">
      <c r="A6095">
        <v>0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0</v>
      </c>
    </row>
    <row r="6116" spans="1:1" x14ac:dyDescent="0.2">
      <c r="A6116">
        <v>0</v>
      </c>
    </row>
    <row r="6117" spans="1:1" x14ac:dyDescent="0.2">
      <c r="A6117">
        <v>0</v>
      </c>
    </row>
    <row r="6118" spans="1:1" x14ac:dyDescent="0.2">
      <c r="A6118">
        <v>0</v>
      </c>
    </row>
    <row r="6119" spans="1:1" x14ac:dyDescent="0.2">
      <c r="A6119">
        <v>0</v>
      </c>
    </row>
    <row r="6120" spans="1:1" x14ac:dyDescent="0.2">
      <c r="A6120">
        <v>0</v>
      </c>
    </row>
    <row r="6121" spans="1:1" x14ac:dyDescent="0.2">
      <c r="A6121">
        <v>0</v>
      </c>
    </row>
    <row r="6122" spans="1:1" x14ac:dyDescent="0.2">
      <c r="A6122">
        <v>0</v>
      </c>
    </row>
    <row r="6123" spans="1:1" x14ac:dyDescent="0.2">
      <c r="A6123">
        <v>0</v>
      </c>
    </row>
    <row r="6124" spans="1:1" x14ac:dyDescent="0.2">
      <c r="A6124">
        <v>0</v>
      </c>
    </row>
    <row r="6125" spans="1:1" x14ac:dyDescent="0.2">
      <c r="A6125">
        <v>0</v>
      </c>
    </row>
    <row r="6126" spans="1:1" x14ac:dyDescent="0.2">
      <c r="A6126">
        <v>0</v>
      </c>
    </row>
    <row r="6127" spans="1:1" x14ac:dyDescent="0.2">
      <c r="A6127">
        <v>0</v>
      </c>
    </row>
    <row r="6128" spans="1:1" x14ac:dyDescent="0.2">
      <c r="A6128">
        <v>0</v>
      </c>
    </row>
    <row r="6129" spans="1:1" x14ac:dyDescent="0.2">
      <c r="A6129">
        <v>0</v>
      </c>
    </row>
    <row r="6130" spans="1:1" x14ac:dyDescent="0.2">
      <c r="A6130">
        <v>0</v>
      </c>
    </row>
    <row r="6131" spans="1:1" x14ac:dyDescent="0.2">
      <c r="A6131">
        <v>0</v>
      </c>
    </row>
    <row r="6132" spans="1:1" x14ac:dyDescent="0.2">
      <c r="A6132">
        <v>0</v>
      </c>
    </row>
    <row r="6133" spans="1:1" x14ac:dyDescent="0.2">
      <c r="A6133">
        <v>0</v>
      </c>
    </row>
    <row r="6134" spans="1:1" x14ac:dyDescent="0.2">
      <c r="A6134">
        <v>0</v>
      </c>
    </row>
    <row r="6135" spans="1:1" x14ac:dyDescent="0.2">
      <c r="A6135">
        <v>0</v>
      </c>
    </row>
    <row r="6136" spans="1:1" x14ac:dyDescent="0.2">
      <c r="A6136">
        <v>0</v>
      </c>
    </row>
    <row r="6137" spans="1:1" x14ac:dyDescent="0.2">
      <c r="A6137">
        <v>0</v>
      </c>
    </row>
    <row r="6138" spans="1:1" x14ac:dyDescent="0.2">
      <c r="A6138">
        <v>0</v>
      </c>
    </row>
    <row r="6139" spans="1:1" x14ac:dyDescent="0.2">
      <c r="A6139">
        <v>0</v>
      </c>
    </row>
    <row r="6140" spans="1:1" x14ac:dyDescent="0.2">
      <c r="A6140">
        <v>0</v>
      </c>
    </row>
    <row r="6141" spans="1:1" x14ac:dyDescent="0.2">
      <c r="A6141">
        <v>0</v>
      </c>
    </row>
    <row r="6142" spans="1:1" x14ac:dyDescent="0.2">
      <c r="A6142">
        <v>0</v>
      </c>
    </row>
    <row r="6143" spans="1:1" x14ac:dyDescent="0.2">
      <c r="A6143">
        <v>0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0</v>
      </c>
    </row>
    <row r="6164" spans="1:1" x14ac:dyDescent="0.2">
      <c r="A6164">
        <v>0</v>
      </c>
    </row>
    <row r="6165" spans="1:1" x14ac:dyDescent="0.2">
      <c r="A6165">
        <v>0</v>
      </c>
    </row>
    <row r="6166" spans="1:1" x14ac:dyDescent="0.2">
      <c r="A6166">
        <v>0</v>
      </c>
    </row>
    <row r="6167" spans="1:1" x14ac:dyDescent="0.2">
      <c r="A6167">
        <v>0</v>
      </c>
    </row>
    <row r="6168" spans="1:1" x14ac:dyDescent="0.2">
      <c r="A6168">
        <v>0</v>
      </c>
    </row>
    <row r="6169" spans="1:1" x14ac:dyDescent="0.2">
      <c r="A6169">
        <v>0</v>
      </c>
    </row>
    <row r="6170" spans="1:1" x14ac:dyDescent="0.2">
      <c r="A6170">
        <v>0</v>
      </c>
    </row>
    <row r="6171" spans="1:1" x14ac:dyDescent="0.2">
      <c r="A6171">
        <v>0</v>
      </c>
    </row>
    <row r="6172" spans="1:1" x14ac:dyDescent="0.2">
      <c r="A6172">
        <v>0</v>
      </c>
    </row>
    <row r="6173" spans="1:1" x14ac:dyDescent="0.2">
      <c r="A6173">
        <v>0</v>
      </c>
    </row>
    <row r="6174" spans="1:1" x14ac:dyDescent="0.2">
      <c r="A6174">
        <v>0</v>
      </c>
    </row>
    <row r="6175" spans="1:1" x14ac:dyDescent="0.2">
      <c r="A6175">
        <v>0</v>
      </c>
    </row>
    <row r="6176" spans="1:1" x14ac:dyDescent="0.2">
      <c r="A6176">
        <v>0</v>
      </c>
    </row>
    <row r="6177" spans="1:1" x14ac:dyDescent="0.2">
      <c r="A6177">
        <v>0</v>
      </c>
    </row>
    <row r="6178" spans="1:1" x14ac:dyDescent="0.2">
      <c r="A6178">
        <v>0</v>
      </c>
    </row>
    <row r="6179" spans="1:1" x14ac:dyDescent="0.2">
      <c r="A6179">
        <v>0</v>
      </c>
    </row>
    <row r="6180" spans="1:1" x14ac:dyDescent="0.2">
      <c r="A6180">
        <v>0</v>
      </c>
    </row>
    <row r="6181" spans="1:1" x14ac:dyDescent="0.2">
      <c r="A6181">
        <v>0</v>
      </c>
    </row>
    <row r="6182" spans="1:1" x14ac:dyDescent="0.2">
      <c r="A6182">
        <v>0</v>
      </c>
    </row>
    <row r="6183" spans="1:1" x14ac:dyDescent="0.2">
      <c r="A6183">
        <v>0</v>
      </c>
    </row>
    <row r="6184" spans="1:1" x14ac:dyDescent="0.2">
      <c r="A6184">
        <v>0</v>
      </c>
    </row>
    <row r="6185" spans="1:1" x14ac:dyDescent="0.2">
      <c r="A6185">
        <v>0</v>
      </c>
    </row>
    <row r="6186" spans="1:1" x14ac:dyDescent="0.2">
      <c r="A6186">
        <v>0</v>
      </c>
    </row>
    <row r="6187" spans="1:1" x14ac:dyDescent="0.2">
      <c r="A6187">
        <v>0</v>
      </c>
    </row>
    <row r="6188" spans="1:1" x14ac:dyDescent="0.2">
      <c r="A6188">
        <v>0</v>
      </c>
    </row>
    <row r="6189" spans="1:1" x14ac:dyDescent="0.2">
      <c r="A6189">
        <v>0</v>
      </c>
    </row>
    <row r="6190" spans="1:1" x14ac:dyDescent="0.2">
      <c r="A6190">
        <v>0</v>
      </c>
    </row>
    <row r="6191" spans="1:1" x14ac:dyDescent="0.2">
      <c r="A6191">
        <v>0</v>
      </c>
    </row>
    <row r="6192" spans="1:1" x14ac:dyDescent="0.2">
      <c r="A6192">
        <v>0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0</v>
      </c>
    </row>
    <row r="6212" spans="1:1" x14ac:dyDescent="0.2">
      <c r="A6212">
        <v>0</v>
      </c>
    </row>
    <row r="6213" spans="1:1" x14ac:dyDescent="0.2">
      <c r="A6213">
        <v>0</v>
      </c>
    </row>
    <row r="6214" spans="1:1" x14ac:dyDescent="0.2">
      <c r="A6214">
        <v>0</v>
      </c>
    </row>
    <row r="6215" spans="1:1" x14ac:dyDescent="0.2">
      <c r="A6215">
        <v>0</v>
      </c>
    </row>
    <row r="6216" spans="1:1" x14ac:dyDescent="0.2">
      <c r="A6216">
        <v>0</v>
      </c>
    </row>
    <row r="6217" spans="1:1" x14ac:dyDescent="0.2">
      <c r="A6217">
        <v>0</v>
      </c>
    </row>
    <row r="6218" spans="1:1" x14ac:dyDescent="0.2">
      <c r="A6218">
        <v>0</v>
      </c>
    </row>
    <row r="6219" spans="1:1" x14ac:dyDescent="0.2">
      <c r="A6219">
        <v>0</v>
      </c>
    </row>
    <row r="6220" spans="1:1" x14ac:dyDescent="0.2">
      <c r="A6220">
        <v>0</v>
      </c>
    </row>
    <row r="6221" spans="1:1" x14ac:dyDescent="0.2">
      <c r="A6221">
        <v>0</v>
      </c>
    </row>
    <row r="6222" spans="1:1" x14ac:dyDescent="0.2">
      <c r="A6222">
        <v>0</v>
      </c>
    </row>
    <row r="6223" spans="1:1" x14ac:dyDescent="0.2">
      <c r="A6223">
        <v>0</v>
      </c>
    </row>
    <row r="6224" spans="1:1" x14ac:dyDescent="0.2">
      <c r="A6224">
        <v>0</v>
      </c>
    </row>
    <row r="6225" spans="1:1" x14ac:dyDescent="0.2">
      <c r="A6225">
        <v>0</v>
      </c>
    </row>
    <row r="6226" spans="1:1" x14ac:dyDescent="0.2">
      <c r="A6226">
        <v>0</v>
      </c>
    </row>
    <row r="6227" spans="1:1" x14ac:dyDescent="0.2">
      <c r="A6227">
        <v>0</v>
      </c>
    </row>
    <row r="6228" spans="1:1" x14ac:dyDescent="0.2">
      <c r="A6228">
        <v>0</v>
      </c>
    </row>
    <row r="6229" spans="1:1" x14ac:dyDescent="0.2">
      <c r="A6229">
        <v>0</v>
      </c>
    </row>
    <row r="6230" spans="1:1" x14ac:dyDescent="0.2">
      <c r="A6230">
        <v>0</v>
      </c>
    </row>
    <row r="6231" spans="1:1" x14ac:dyDescent="0.2">
      <c r="A6231">
        <v>0</v>
      </c>
    </row>
    <row r="6232" spans="1:1" x14ac:dyDescent="0.2">
      <c r="A6232">
        <v>0</v>
      </c>
    </row>
    <row r="6233" spans="1:1" x14ac:dyDescent="0.2">
      <c r="A6233">
        <v>0</v>
      </c>
    </row>
    <row r="6234" spans="1:1" x14ac:dyDescent="0.2">
      <c r="A6234">
        <v>0</v>
      </c>
    </row>
    <row r="6235" spans="1:1" x14ac:dyDescent="0.2">
      <c r="A6235">
        <v>0</v>
      </c>
    </row>
    <row r="6236" spans="1:1" x14ac:dyDescent="0.2">
      <c r="A6236">
        <v>0</v>
      </c>
    </row>
    <row r="6237" spans="1:1" x14ac:dyDescent="0.2">
      <c r="A6237">
        <v>0</v>
      </c>
    </row>
    <row r="6238" spans="1:1" x14ac:dyDescent="0.2">
      <c r="A6238">
        <v>0</v>
      </c>
    </row>
    <row r="6239" spans="1:1" x14ac:dyDescent="0.2">
      <c r="A6239">
        <v>0</v>
      </c>
    </row>
    <row r="6240" spans="1:1" x14ac:dyDescent="0.2">
      <c r="A6240">
        <v>0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0</v>
      </c>
    </row>
    <row r="6259" spans="1:1" x14ac:dyDescent="0.2">
      <c r="A6259">
        <v>0</v>
      </c>
    </row>
    <row r="6260" spans="1:1" x14ac:dyDescent="0.2">
      <c r="A6260">
        <v>0</v>
      </c>
    </row>
    <row r="6261" spans="1:1" x14ac:dyDescent="0.2">
      <c r="A6261">
        <v>0</v>
      </c>
    </row>
    <row r="6262" spans="1:1" x14ac:dyDescent="0.2">
      <c r="A6262">
        <v>0</v>
      </c>
    </row>
    <row r="6263" spans="1:1" x14ac:dyDescent="0.2">
      <c r="A6263">
        <v>0</v>
      </c>
    </row>
    <row r="6264" spans="1:1" x14ac:dyDescent="0.2">
      <c r="A6264">
        <v>0</v>
      </c>
    </row>
    <row r="6265" spans="1:1" x14ac:dyDescent="0.2">
      <c r="A6265">
        <v>0</v>
      </c>
    </row>
    <row r="6266" spans="1:1" x14ac:dyDescent="0.2">
      <c r="A6266">
        <v>0</v>
      </c>
    </row>
    <row r="6267" spans="1:1" x14ac:dyDescent="0.2">
      <c r="A6267">
        <v>0</v>
      </c>
    </row>
    <row r="6268" spans="1:1" x14ac:dyDescent="0.2">
      <c r="A6268">
        <v>0</v>
      </c>
    </row>
    <row r="6269" spans="1:1" x14ac:dyDescent="0.2">
      <c r="A6269">
        <v>0</v>
      </c>
    </row>
    <row r="6270" spans="1:1" x14ac:dyDescent="0.2">
      <c r="A6270">
        <v>0</v>
      </c>
    </row>
    <row r="6271" spans="1:1" x14ac:dyDescent="0.2">
      <c r="A6271">
        <v>0</v>
      </c>
    </row>
    <row r="6272" spans="1:1" x14ac:dyDescent="0.2">
      <c r="A6272">
        <v>0</v>
      </c>
    </row>
    <row r="6273" spans="1:1" x14ac:dyDescent="0.2">
      <c r="A6273">
        <v>0</v>
      </c>
    </row>
    <row r="6274" spans="1:1" x14ac:dyDescent="0.2">
      <c r="A6274">
        <v>0</v>
      </c>
    </row>
    <row r="6275" spans="1:1" x14ac:dyDescent="0.2">
      <c r="A6275">
        <v>0</v>
      </c>
    </row>
    <row r="6276" spans="1:1" x14ac:dyDescent="0.2">
      <c r="A6276">
        <v>0</v>
      </c>
    </row>
    <row r="6277" spans="1:1" x14ac:dyDescent="0.2">
      <c r="A6277">
        <v>0</v>
      </c>
    </row>
    <row r="6278" spans="1:1" x14ac:dyDescent="0.2">
      <c r="A6278">
        <v>0</v>
      </c>
    </row>
    <row r="6279" spans="1:1" x14ac:dyDescent="0.2">
      <c r="A6279">
        <v>0</v>
      </c>
    </row>
    <row r="6280" spans="1:1" x14ac:dyDescent="0.2">
      <c r="A6280">
        <v>0</v>
      </c>
    </row>
    <row r="6281" spans="1:1" x14ac:dyDescent="0.2">
      <c r="A6281">
        <v>0</v>
      </c>
    </row>
    <row r="6282" spans="1:1" x14ac:dyDescent="0.2">
      <c r="A6282">
        <v>0</v>
      </c>
    </row>
    <row r="6283" spans="1:1" x14ac:dyDescent="0.2">
      <c r="A6283">
        <v>0</v>
      </c>
    </row>
    <row r="6284" spans="1:1" x14ac:dyDescent="0.2">
      <c r="A6284">
        <v>0</v>
      </c>
    </row>
    <row r="6285" spans="1:1" x14ac:dyDescent="0.2">
      <c r="A6285">
        <v>0</v>
      </c>
    </row>
    <row r="6286" spans="1:1" x14ac:dyDescent="0.2">
      <c r="A6286">
        <v>0</v>
      </c>
    </row>
    <row r="6287" spans="1:1" x14ac:dyDescent="0.2">
      <c r="A6287">
        <v>0</v>
      </c>
    </row>
    <row r="6288" spans="1:1" x14ac:dyDescent="0.2">
      <c r="A6288">
        <v>0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0</v>
      </c>
    </row>
    <row r="6307" spans="1:1" x14ac:dyDescent="0.2">
      <c r="A6307">
        <v>0</v>
      </c>
    </row>
    <row r="6308" spans="1:1" x14ac:dyDescent="0.2">
      <c r="A6308">
        <v>0</v>
      </c>
    </row>
    <row r="6309" spans="1:1" x14ac:dyDescent="0.2">
      <c r="A6309">
        <v>0</v>
      </c>
    </row>
    <row r="6310" spans="1:1" x14ac:dyDescent="0.2">
      <c r="A6310">
        <v>0</v>
      </c>
    </row>
    <row r="6311" spans="1:1" x14ac:dyDescent="0.2">
      <c r="A6311">
        <v>0</v>
      </c>
    </row>
    <row r="6312" spans="1:1" x14ac:dyDescent="0.2">
      <c r="A6312">
        <v>0</v>
      </c>
    </row>
    <row r="6313" spans="1:1" x14ac:dyDescent="0.2">
      <c r="A6313">
        <v>0</v>
      </c>
    </row>
    <row r="6314" spans="1:1" x14ac:dyDescent="0.2">
      <c r="A6314">
        <v>0</v>
      </c>
    </row>
    <row r="6315" spans="1:1" x14ac:dyDescent="0.2">
      <c r="A6315">
        <v>0</v>
      </c>
    </row>
    <row r="6316" spans="1:1" x14ac:dyDescent="0.2">
      <c r="A6316">
        <v>0</v>
      </c>
    </row>
    <row r="6317" spans="1:1" x14ac:dyDescent="0.2">
      <c r="A6317">
        <v>0</v>
      </c>
    </row>
    <row r="6318" spans="1:1" x14ac:dyDescent="0.2">
      <c r="A6318">
        <v>0</v>
      </c>
    </row>
    <row r="6319" spans="1:1" x14ac:dyDescent="0.2">
      <c r="A6319">
        <v>0</v>
      </c>
    </row>
    <row r="6320" spans="1:1" x14ac:dyDescent="0.2">
      <c r="A6320">
        <v>0</v>
      </c>
    </row>
    <row r="6321" spans="1:1" x14ac:dyDescent="0.2">
      <c r="A6321">
        <v>0</v>
      </c>
    </row>
    <row r="6322" spans="1:1" x14ac:dyDescent="0.2">
      <c r="A6322">
        <v>0</v>
      </c>
    </row>
    <row r="6323" spans="1:1" x14ac:dyDescent="0.2">
      <c r="A6323">
        <v>0</v>
      </c>
    </row>
    <row r="6324" spans="1:1" x14ac:dyDescent="0.2">
      <c r="A6324">
        <v>0</v>
      </c>
    </row>
    <row r="6325" spans="1:1" x14ac:dyDescent="0.2">
      <c r="A6325">
        <v>0</v>
      </c>
    </row>
    <row r="6326" spans="1:1" x14ac:dyDescent="0.2">
      <c r="A6326">
        <v>0</v>
      </c>
    </row>
    <row r="6327" spans="1:1" x14ac:dyDescent="0.2">
      <c r="A6327">
        <v>0</v>
      </c>
    </row>
    <row r="6328" spans="1:1" x14ac:dyDescent="0.2">
      <c r="A6328">
        <v>0</v>
      </c>
    </row>
    <row r="6329" spans="1:1" x14ac:dyDescent="0.2">
      <c r="A6329">
        <v>0</v>
      </c>
    </row>
    <row r="6330" spans="1:1" x14ac:dyDescent="0.2">
      <c r="A6330">
        <v>0</v>
      </c>
    </row>
    <row r="6331" spans="1:1" x14ac:dyDescent="0.2">
      <c r="A6331">
        <v>0</v>
      </c>
    </row>
    <row r="6332" spans="1:1" x14ac:dyDescent="0.2">
      <c r="A6332">
        <v>0</v>
      </c>
    </row>
    <row r="6333" spans="1:1" x14ac:dyDescent="0.2">
      <c r="A6333">
        <v>0</v>
      </c>
    </row>
    <row r="6334" spans="1:1" x14ac:dyDescent="0.2">
      <c r="A6334">
        <v>0</v>
      </c>
    </row>
    <row r="6335" spans="1:1" x14ac:dyDescent="0.2">
      <c r="A6335">
        <v>0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</v>
      </c>
    </row>
    <row r="6355" spans="1:1" x14ac:dyDescent="0.2">
      <c r="A6355">
        <v>0</v>
      </c>
    </row>
    <row r="6356" spans="1:1" x14ac:dyDescent="0.2">
      <c r="A6356">
        <v>0</v>
      </c>
    </row>
    <row r="6357" spans="1:1" x14ac:dyDescent="0.2">
      <c r="A6357">
        <v>0</v>
      </c>
    </row>
    <row r="6358" spans="1:1" x14ac:dyDescent="0.2">
      <c r="A6358">
        <v>0</v>
      </c>
    </row>
    <row r="6359" spans="1:1" x14ac:dyDescent="0.2">
      <c r="A6359">
        <v>0</v>
      </c>
    </row>
    <row r="6360" spans="1:1" x14ac:dyDescent="0.2">
      <c r="A6360">
        <v>0</v>
      </c>
    </row>
    <row r="6361" spans="1:1" x14ac:dyDescent="0.2">
      <c r="A6361">
        <v>0</v>
      </c>
    </row>
    <row r="6362" spans="1:1" x14ac:dyDescent="0.2">
      <c r="A6362">
        <v>0</v>
      </c>
    </row>
    <row r="6363" spans="1:1" x14ac:dyDescent="0.2">
      <c r="A6363">
        <v>0</v>
      </c>
    </row>
    <row r="6364" spans="1:1" x14ac:dyDescent="0.2">
      <c r="A6364">
        <v>0</v>
      </c>
    </row>
    <row r="6365" spans="1:1" x14ac:dyDescent="0.2">
      <c r="A6365">
        <v>0</v>
      </c>
    </row>
    <row r="6366" spans="1:1" x14ac:dyDescent="0.2">
      <c r="A6366">
        <v>0</v>
      </c>
    </row>
    <row r="6367" spans="1:1" x14ac:dyDescent="0.2">
      <c r="A6367">
        <v>0</v>
      </c>
    </row>
    <row r="6368" spans="1:1" x14ac:dyDescent="0.2">
      <c r="A6368">
        <v>0</v>
      </c>
    </row>
    <row r="6369" spans="1:1" x14ac:dyDescent="0.2">
      <c r="A6369">
        <v>0</v>
      </c>
    </row>
    <row r="6370" spans="1:1" x14ac:dyDescent="0.2">
      <c r="A6370">
        <v>0</v>
      </c>
    </row>
    <row r="6371" spans="1:1" x14ac:dyDescent="0.2">
      <c r="A6371">
        <v>0</v>
      </c>
    </row>
    <row r="6372" spans="1:1" x14ac:dyDescent="0.2">
      <c r="A6372">
        <v>0</v>
      </c>
    </row>
    <row r="6373" spans="1:1" x14ac:dyDescent="0.2">
      <c r="A6373">
        <v>0</v>
      </c>
    </row>
    <row r="6374" spans="1:1" x14ac:dyDescent="0.2">
      <c r="A6374">
        <v>0</v>
      </c>
    </row>
    <row r="6375" spans="1:1" x14ac:dyDescent="0.2">
      <c r="A6375">
        <v>0</v>
      </c>
    </row>
    <row r="6376" spans="1:1" x14ac:dyDescent="0.2">
      <c r="A6376">
        <v>0</v>
      </c>
    </row>
    <row r="6377" spans="1:1" x14ac:dyDescent="0.2">
      <c r="A6377">
        <v>0</v>
      </c>
    </row>
    <row r="6378" spans="1:1" x14ac:dyDescent="0.2">
      <c r="A6378">
        <v>0</v>
      </c>
    </row>
    <row r="6379" spans="1:1" x14ac:dyDescent="0.2">
      <c r="A6379">
        <v>0</v>
      </c>
    </row>
    <row r="6380" spans="1:1" x14ac:dyDescent="0.2">
      <c r="A6380">
        <v>0</v>
      </c>
    </row>
    <row r="6381" spans="1:1" x14ac:dyDescent="0.2">
      <c r="A6381">
        <v>0</v>
      </c>
    </row>
    <row r="6382" spans="1:1" x14ac:dyDescent="0.2">
      <c r="A6382">
        <v>0</v>
      </c>
    </row>
    <row r="6383" spans="1:1" x14ac:dyDescent="0.2">
      <c r="A6383">
        <v>0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</v>
      </c>
    </row>
    <row r="6403" spans="1:1" x14ac:dyDescent="0.2">
      <c r="A6403">
        <v>0</v>
      </c>
    </row>
    <row r="6404" spans="1:1" x14ac:dyDescent="0.2">
      <c r="A6404">
        <v>0</v>
      </c>
    </row>
    <row r="6405" spans="1:1" x14ac:dyDescent="0.2">
      <c r="A6405">
        <v>0</v>
      </c>
    </row>
    <row r="6406" spans="1:1" x14ac:dyDescent="0.2">
      <c r="A6406">
        <v>0</v>
      </c>
    </row>
    <row r="6407" spans="1:1" x14ac:dyDescent="0.2">
      <c r="A6407">
        <v>0</v>
      </c>
    </row>
    <row r="6408" spans="1:1" x14ac:dyDescent="0.2">
      <c r="A6408">
        <v>0</v>
      </c>
    </row>
    <row r="6409" spans="1:1" x14ac:dyDescent="0.2">
      <c r="A6409">
        <v>0</v>
      </c>
    </row>
    <row r="6410" spans="1:1" x14ac:dyDescent="0.2">
      <c r="A6410">
        <v>0</v>
      </c>
    </row>
    <row r="6411" spans="1:1" x14ac:dyDescent="0.2">
      <c r="A6411">
        <v>0</v>
      </c>
    </row>
    <row r="6412" spans="1:1" x14ac:dyDescent="0.2">
      <c r="A6412">
        <v>0</v>
      </c>
    </row>
    <row r="6413" spans="1:1" x14ac:dyDescent="0.2">
      <c r="A6413">
        <v>0</v>
      </c>
    </row>
    <row r="6414" spans="1:1" x14ac:dyDescent="0.2">
      <c r="A6414">
        <v>0</v>
      </c>
    </row>
    <row r="6415" spans="1:1" x14ac:dyDescent="0.2">
      <c r="A6415">
        <v>0</v>
      </c>
    </row>
    <row r="6416" spans="1:1" x14ac:dyDescent="0.2">
      <c r="A6416">
        <v>0</v>
      </c>
    </row>
    <row r="6417" spans="1:1" x14ac:dyDescent="0.2">
      <c r="A6417">
        <v>0</v>
      </c>
    </row>
    <row r="6418" spans="1:1" x14ac:dyDescent="0.2">
      <c r="A6418">
        <v>0</v>
      </c>
    </row>
    <row r="6419" spans="1:1" x14ac:dyDescent="0.2">
      <c r="A6419">
        <v>0</v>
      </c>
    </row>
    <row r="6420" spans="1:1" x14ac:dyDescent="0.2">
      <c r="A6420">
        <v>0</v>
      </c>
    </row>
    <row r="6421" spans="1:1" x14ac:dyDescent="0.2">
      <c r="A6421">
        <v>0</v>
      </c>
    </row>
    <row r="6422" spans="1:1" x14ac:dyDescent="0.2">
      <c r="A6422">
        <v>0</v>
      </c>
    </row>
    <row r="6423" spans="1:1" x14ac:dyDescent="0.2">
      <c r="A6423">
        <v>0</v>
      </c>
    </row>
    <row r="6424" spans="1:1" x14ac:dyDescent="0.2">
      <c r="A6424">
        <v>0</v>
      </c>
    </row>
    <row r="6425" spans="1:1" x14ac:dyDescent="0.2">
      <c r="A6425">
        <v>0</v>
      </c>
    </row>
    <row r="6426" spans="1:1" x14ac:dyDescent="0.2">
      <c r="A6426">
        <v>0</v>
      </c>
    </row>
    <row r="6427" spans="1:1" x14ac:dyDescent="0.2">
      <c r="A6427">
        <v>0</v>
      </c>
    </row>
    <row r="6428" spans="1:1" x14ac:dyDescent="0.2">
      <c r="A6428">
        <v>0</v>
      </c>
    </row>
    <row r="6429" spans="1:1" x14ac:dyDescent="0.2">
      <c r="A6429">
        <v>0</v>
      </c>
    </row>
    <row r="6430" spans="1:1" x14ac:dyDescent="0.2">
      <c r="A6430">
        <v>0</v>
      </c>
    </row>
    <row r="6431" spans="1:1" x14ac:dyDescent="0.2">
      <c r="A6431">
        <v>0</v>
      </c>
    </row>
    <row r="6432" spans="1:1" x14ac:dyDescent="0.2">
      <c r="A6432">
        <v>0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</v>
      </c>
    </row>
    <row r="6451" spans="1:1" x14ac:dyDescent="0.2">
      <c r="A6451">
        <v>0</v>
      </c>
    </row>
    <row r="6452" spans="1:1" x14ac:dyDescent="0.2">
      <c r="A6452">
        <v>0</v>
      </c>
    </row>
    <row r="6453" spans="1:1" x14ac:dyDescent="0.2">
      <c r="A6453">
        <v>0</v>
      </c>
    </row>
    <row r="6454" spans="1:1" x14ac:dyDescent="0.2">
      <c r="A6454">
        <v>0</v>
      </c>
    </row>
    <row r="6455" spans="1:1" x14ac:dyDescent="0.2">
      <c r="A6455">
        <v>0</v>
      </c>
    </row>
    <row r="6456" spans="1:1" x14ac:dyDescent="0.2">
      <c r="A6456">
        <v>0</v>
      </c>
    </row>
    <row r="6457" spans="1:1" x14ac:dyDescent="0.2">
      <c r="A6457">
        <v>0</v>
      </c>
    </row>
    <row r="6458" spans="1:1" x14ac:dyDescent="0.2">
      <c r="A6458">
        <v>0</v>
      </c>
    </row>
    <row r="6459" spans="1:1" x14ac:dyDescent="0.2">
      <c r="A6459">
        <v>0</v>
      </c>
    </row>
    <row r="6460" spans="1:1" x14ac:dyDescent="0.2">
      <c r="A6460">
        <v>0</v>
      </c>
    </row>
    <row r="6461" spans="1:1" x14ac:dyDescent="0.2">
      <c r="A6461">
        <v>0</v>
      </c>
    </row>
    <row r="6462" spans="1:1" x14ac:dyDescent="0.2">
      <c r="A6462">
        <v>0</v>
      </c>
    </row>
    <row r="6463" spans="1:1" x14ac:dyDescent="0.2">
      <c r="A6463">
        <v>0</v>
      </c>
    </row>
    <row r="6464" spans="1:1" x14ac:dyDescent="0.2">
      <c r="A6464">
        <v>0</v>
      </c>
    </row>
    <row r="6465" spans="1:1" x14ac:dyDescent="0.2">
      <c r="A6465">
        <v>0</v>
      </c>
    </row>
    <row r="6466" spans="1:1" x14ac:dyDescent="0.2">
      <c r="A6466">
        <v>0</v>
      </c>
    </row>
    <row r="6467" spans="1:1" x14ac:dyDescent="0.2">
      <c r="A6467">
        <v>0</v>
      </c>
    </row>
    <row r="6468" spans="1:1" x14ac:dyDescent="0.2">
      <c r="A6468">
        <v>0</v>
      </c>
    </row>
    <row r="6469" spans="1:1" x14ac:dyDescent="0.2">
      <c r="A6469">
        <v>0</v>
      </c>
    </row>
    <row r="6470" spans="1:1" x14ac:dyDescent="0.2">
      <c r="A6470">
        <v>0</v>
      </c>
    </row>
    <row r="6471" spans="1:1" x14ac:dyDescent="0.2">
      <c r="A6471">
        <v>0</v>
      </c>
    </row>
    <row r="6472" spans="1:1" x14ac:dyDescent="0.2">
      <c r="A6472">
        <v>0</v>
      </c>
    </row>
    <row r="6473" spans="1:1" x14ac:dyDescent="0.2">
      <c r="A6473">
        <v>0</v>
      </c>
    </row>
    <row r="6474" spans="1:1" x14ac:dyDescent="0.2">
      <c r="A6474">
        <v>0</v>
      </c>
    </row>
    <row r="6475" spans="1:1" x14ac:dyDescent="0.2">
      <c r="A6475">
        <v>0</v>
      </c>
    </row>
    <row r="6476" spans="1:1" x14ac:dyDescent="0.2">
      <c r="A6476">
        <v>0</v>
      </c>
    </row>
    <row r="6477" spans="1:1" x14ac:dyDescent="0.2">
      <c r="A6477">
        <v>0</v>
      </c>
    </row>
    <row r="6478" spans="1:1" x14ac:dyDescent="0.2">
      <c r="A6478">
        <v>0</v>
      </c>
    </row>
    <row r="6479" spans="1:1" x14ac:dyDescent="0.2">
      <c r="A6479">
        <v>0</v>
      </c>
    </row>
    <row r="6480" spans="1:1" x14ac:dyDescent="0.2">
      <c r="A6480">
        <v>0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0</v>
      </c>
    </row>
    <row r="6499" spans="1:1" x14ac:dyDescent="0.2">
      <c r="A6499">
        <v>0</v>
      </c>
    </row>
    <row r="6500" spans="1:1" x14ac:dyDescent="0.2">
      <c r="A6500">
        <v>0</v>
      </c>
    </row>
    <row r="6501" spans="1:1" x14ac:dyDescent="0.2">
      <c r="A6501">
        <v>0</v>
      </c>
    </row>
    <row r="6502" spans="1:1" x14ac:dyDescent="0.2">
      <c r="A6502">
        <v>0</v>
      </c>
    </row>
    <row r="6503" spans="1:1" x14ac:dyDescent="0.2">
      <c r="A6503">
        <v>0</v>
      </c>
    </row>
    <row r="6504" spans="1:1" x14ac:dyDescent="0.2">
      <c r="A6504">
        <v>0</v>
      </c>
    </row>
    <row r="6505" spans="1:1" x14ac:dyDescent="0.2">
      <c r="A6505">
        <v>0</v>
      </c>
    </row>
    <row r="6506" spans="1:1" x14ac:dyDescent="0.2">
      <c r="A6506">
        <v>0</v>
      </c>
    </row>
    <row r="6507" spans="1:1" x14ac:dyDescent="0.2">
      <c r="A6507">
        <v>0</v>
      </c>
    </row>
    <row r="6508" spans="1:1" x14ac:dyDescent="0.2">
      <c r="A6508">
        <v>0</v>
      </c>
    </row>
    <row r="6509" spans="1:1" x14ac:dyDescent="0.2">
      <c r="A6509">
        <v>0</v>
      </c>
    </row>
    <row r="6510" spans="1:1" x14ac:dyDescent="0.2">
      <c r="A6510">
        <v>0</v>
      </c>
    </row>
    <row r="6511" spans="1:1" x14ac:dyDescent="0.2">
      <c r="A6511">
        <v>0</v>
      </c>
    </row>
    <row r="6512" spans="1:1" x14ac:dyDescent="0.2">
      <c r="A6512">
        <v>0</v>
      </c>
    </row>
    <row r="6513" spans="1:1" x14ac:dyDescent="0.2">
      <c r="A6513">
        <v>0</v>
      </c>
    </row>
    <row r="6514" spans="1:1" x14ac:dyDescent="0.2">
      <c r="A6514">
        <v>0</v>
      </c>
    </row>
    <row r="6515" spans="1:1" x14ac:dyDescent="0.2">
      <c r="A6515">
        <v>0</v>
      </c>
    </row>
    <row r="6516" spans="1:1" x14ac:dyDescent="0.2">
      <c r="A6516">
        <v>0</v>
      </c>
    </row>
    <row r="6517" spans="1:1" x14ac:dyDescent="0.2">
      <c r="A6517">
        <v>0</v>
      </c>
    </row>
    <row r="6518" spans="1:1" x14ac:dyDescent="0.2">
      <c r="A6518">
        <v>0</v>
      </c>
    </row>
    <row r="6519" spans="1:1" x14ac:dyDescent="0.2">
      <c r="A6519">
        <v>0</v>
      </c>
    </row>
    <row r="6520" spans="1:1" x14ac:dyDescent="0.2">
      <c r="A6520">
        <v>0</v>
      </c>
    </row>
    <row r="6521" spans="1:1" x14ac:dyDescent="0.2">
      <c r="A6521">
        <v>0</v>
      </c>
    </row>
    <row r="6522" spans="1:1" x14ac:dyDescent="0.2">
      <c r="A6522">
        <v>0</v>
      </c>
    </row>
    <row r="6523" spans="1:1" x14ac:dyDescent="0.2">
      <c r="A6523">
        <v>0</v>
      </c>
    </row>
    <row r="6524" spans="1:1" x14ac:dyDescent="0.2">
      <c r="A6524">
        <v>0</v>
      </c>
    </row>
    <row r="6525" spans="1:1" x14ac:dyDescent="0.2">
      <c r="A6525">
        <v>0</v>
      </c>
    </row>
    <row r="6526" spans="1:1" x14ac:dyDescent="0.2">
      <c r="A6526">
        <v>0</v>
      </c>
    </row>
    <row r="6527" spans="1:1" x14ac:dyDescent="0.2">
      <c r="A6527">
        <v>0</v>
      </c>
    </row>
    <row r="6528" spans="1:1" x14ac:dyDescent="0.2">
      <c r="A6528">
        <v>0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0</v>
      </c>
    </row>
    <row r="6547" spans="1:1" x14ac:dyDescent="0.2">
      <c r="A6547">
        <v>0</v>
      </c>
    </row>
    <row r="6548" spans="1:1" x14ac:dyDescent="0.2">
      <c r="A6548">
        <v>0</v>
      </c>
    </row>
    <row r="6549" spans="1:1" x14ac:dyDescent="0.2">
      <c r="A6549">
        <v>0</v>
      </c>
    </row>
    <row r="6550" spans="1:1" x14ac:dyDescent="0.2">
      <c r="A6550">
        <v>0</v>
      </c>
    </row>
    <row r="6551" spans="1:1" x14ac:dyDescent="0.2">
      <c r="A6551">
        <v>0</v>
      </c>
    </row>
    <row r="6552" spans="1:1" x14ac:dyDescent="0.2">
      <c r="A6552">
        <v>0</v>
      </c>
    </row>
    <row r="6553" spans="1:1" x14ac:dyDescent="0.2">
      <c r="A6553">
        <v>0</v>
      </c>
    </row>
    <row r="6554" spans="1:1" x14ac:dyDescent="0.2">
      <c r="A6554">
        <v>0</v>
      </c>
    </row>
    <row r="6555" spans="1:1" x14ac:dyDescent="0.2">
      <c r="A6555">
        <v>0</v>
      </c>
    </row>
    <row r="6556" spans="1:1" x14ac:dyDescent="0.2">
      <c r="A6556">
        <v>0</v>
      </c>
    </row>
    <row r="6557" spans="1:1" x14ac:dyDescent="0.2">
      <c r="A6557">
        <v>0</v>
      </c>
    </row>
    <row r="6558" spans="1:1" x14ac:dyDescent="0.2">
      <c r="A6558">
        <v>0</v>
      </c>
    </row>
    <row r="6559" spans="1:1" x14ac:dyDescent="0.2">
      <c r="A6559">
        <v>0</v>
      </c>
    </row>
    <row r="6560" spans="1:1" x14ac:dyDescent="0.2">
      <c r="A6560">
        <v>0</v>
      </c>
    </row>
    <row r="6561" spans="1:1" x14ac:dyDescent="0.2">
      <c r="A6561">
        <v>0</v>
      </c>
    </row>
    <row r="6562" spans="1:1" x14ac:dyDescent="0.2">
      <c r="A6562">
        <v>0</v>
      </c>
    </row>
    <row r="6563" spans="1:1" x14ac:dyDescent="0.2">
      <c r="A6563">
        <v>0</v>
      </c>
    </row>
    <row r="6564" spans="1:1" x14ac:dyDescent="0.2">
      <c r="A6564">
        <v>0</v>
      </c>
    </row>
    <row r="6565" spans="1:1" x14ac:dyDescent="0.2">
      <c r="A6565">
        <v>0</v>
      </c>
    </row>
    <row r="6566" spans="1:1" x14ac:dyDescent="0.2">
      <c r="A6566">
        <v>0</v>
      </c>
    </row>
    <row r="6567" spans="1:1" x14ac:dyDescent="0.2">
      <c r="A6567">
        <v>0</v>
      </c>
    </row>
    <row r="6568" spans="1:1" x14ac:dyDescent="0.2">
      <c r="A6568">
        <v>0</v>
      </c>
    </row>
    <row r="6569" spans="1:1" x14ac:dyDescent="0.2">
      <c r="A6569">
        <v>0</v>
      </c>
    </row>
    <row r="6570" spans="1:1" x14ac:dyDescent="0.2">
      <c r="A6570">
        <v>0</v>
      </c>
    </row>
    <row r="6571" spans="1:1" x14ac:dyDescent="0.2">
      <c r="A6571">
        <v>0</v>
      </c>
    </row>
    <row r="6572" spans="1:1" x14ac:dyDescent="0.2">
      <c r="A6572">
        <v>0</v>
      </c>
    </row>
    <row r="6573" spans="1:1" x14ac:dyDescent="0.2">
      <c r="A6573">
        <v>0</v>
      </c>
    </row>
    <row r="6574" spans="1:1" x14ac:dyDescent="0.2">
      <c r="A6574">
        <v>0</v>
      </c>
    </row>
    <row r="6575" spans="1:1" x14ac:dyDescent="0.2">
      <c r="A6575">
        <v>0</v>
      </c>
    </row>
    <row r="6576" spans="1:1" x14ac:dyDescent="0.2">
      <c r="A6576">
        <v>0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0</v>
      </c>
    </row>
    <row r="6596" spans="1:1" x14ac:dyDescent="0.2">
      <c r="A6596">
        <v>0</v>
      </c>
    </row>
    <row r="6597" spans="1:1" x14ac:dyDescent="0.2">
      <c r="A6597">
        <v>0</v>
      </c>
    </row>
    <row r="6598" spans="1:1" x14ac:dyDescent="0.2">
      <c r="A6598">
        <v>0</v>
      </c>
    </row>
    <row r="6599" spans="1:1" x14ac:dyDescent="0.2">
      <c r="A6599">
        <v>0</v>
      </c>
    </row>
    <row r="6600" spans="1:1" x14ac:dyDescent="0.2">
      <c r="A6600">
        <v>0</v>
      </c>
    </row>
    <row r="6601" spans="1:1" x14ac:dyDescent="0.2">
      <c r="A6601">
        <v>0</v>
      </c>
    </row>
    <row r="6602" spans="1:1" x14ac:dyDescent="0.2">
      <c r="A6602">
        <v>0</v>
      </c>
    </row>
    <row r="6603" spans="1:1" x14ac:dyDescent="0.2">
      <c r="A6603">
        <v>0</v>
      </c>
    </row>
    <row r="6604" spans="1:1" x14ac:dyDescent="0.2">
      <c r="A6604">
        <v>0</v>
      </c>
    </row>
    <row r="6605" spans="1:1" x14ac:dyDescent="0.2">
      <c r="A6605">
        <v>0</v>
      </c>
    </row>
    <row r="6606" spans="1:1" x14ac:dyDescent="0.2">
      <c r="A6606">
        <v>0</v>
      </c>
    </row>
    <row r="6607" spans="1:1" x14ac:dyDescent="0.2">
      <c r="A6607">
        <v>0</v>
      </c>
    </row>
    <row r="6608" spans="1:1" x14ac:dyDescent="0.2">
      <c r="A6608">
        <v>0</v>
      </c>
    </row>
    <row r="6609" spans="1:1" x14ac:dyDescent="0.2">
      <c r="A6609">
        <v>0</v>
      </c>
    </row>
    <row r="6610" spans="1:1" x14ac:dyDescent="0.2">
      <c r="A6610">
        <v>0</v>
      </c>
    </row>
    <row r="6611" spans="1:1" x14ac:dyDescent="0.2">
      <c r="A6611">
        <v>0</v>
      </c>
    </row>
    <row r="6612" spans="1:1" x14ac:dyDescent="0.2">
      <c r="A6612">
        <v>0</v>
      </c>
    </row>
    <row r="6613" spans="1:1" x14ac:dyDescent="0.2">
      <c r="A6613">
        <v>0</v>
      </c>
    </row>
    <row r="6614" spans="1:1" x14ac:dyDescent="0.2">
      <c r="A6614">
        <v>0</v>
      </c>
    </row>
    <row r="6615" spans="1:1" x14ac:dyDescent="0.2">
      <c r="A6615">
        <v>0</v>
      </c>
    </row>
    <row r="6616" spans="1:1" x14ac:dyDescent="0.2">
      <c r="A6616">
        <v>0</v>
      </c>
    </row>
    <row r="6617" spans="1:1" x14ac:dyDescent="0.2">
      <c r="A6617">
        <v>0</v>
      </c>
    </row>
    <row r="6618" spans="1:1" x14ac:dyDescent="0.2">
      <c r="A6618">
        <v>0</v>
      </c>
    </row>
    <row r="6619" spans="1:1" x14ac:dyDescent="0.2">
      <c r="A6619">
        <v>0</v>
      </c>
    </row>
    <row r="6620" spans="1:1" x14ac:dyDescent="0.2">
      <c r="A6620">
        <v>0</v>
      </c>
    </row>
    <row r="6621" spans="1:1" x14ac:dyDescent="0.2">
      <c r="A6621">
        <v>0</v>
      </c>
    </row>
    <row r="6622" spans="1:1" x14ac:dyDescent="0.2">
      <c r="A6622">
        <v>0</v>
      </c>
    </row>
    <row r="6623" spans="1:1" x14ac:dyDescent="0.2">
      <c r="A6623">
        <v>0</v>
      </c>
    </row>
    <row r="6624" spans="1:1" x14ac:dyDescent="0.2">
      <c r="A6624">
        <v>0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0</v>
      </c>
    </row>
    <row r="6643" spans="1:1" x14ac:dyDescent="0.2">
      <c r="A6643">
        <v>0</v>
      </c>
    </row>
    <row r="6644" spans="1:1" x14ac:dyDescent="0.2">
      <c r="A6644">
        <v>0</v>
      </c>
    </row>
    <row r="6645" spans="1:1" x14ac:dyDescent="0.2">
      <c r="A6645">
        <v>0</v>
      </c>
    </row>
    <row r="6646" spans="1:1" x14ac:dyDescent="0.2">
      <c r="A6646">
        <v>0</v>
      </c>
    </row>
    <row r="6647" spans="1:1" x14ac:dyDescent="0.2">
      <c r="A6647">
        <v>0</v>
      </c>
    </row>
    <row r="6648" spans="1:1" x14ac:dyDescent="0.2">
      <c r="A6648">
        <v>0</v>
      </c>
    </row>
    <row r="6649" spans="1:1" x14ac:dyDescent="0.2">
      <c r="A6649">
        <v>0</v>
      </c>
    </row>
    <row r="6650" spans="1:1" x14ac:dyDescent="0.2">
      <c r="A6650">
        <v>0</v>
      </c>
    </row>
    <row r="6651" spans="1:1" x14ac:dyDescent="0.2">
      <c r="A6651">
        <v>0</v>
      </c>
    </row>
    <row r="6652" spans="1:1" x14ac:dyDescent="0.2">
      <c r="A6652">
        <v>0</v>
      </c>
    </row>
    <row r="6653" spans="1:1" x14ac:dyDescent="0.2">
      <c r="A6653">
        <v>0</v>
      </c>
    </row>
    <row r="6654" spans="1:1" x14ac:dyDescent="0.2">
      <c r="A6654">
        <v>0</v>
      </c>
    </row>
    <row r="6655" spans="1:1" x14ac:dyDescent="0.2">
      <c r="A6655">
        <v>0</v>
      </c>
    </row>
    <row r="6656" spans="1:1" x14ac:dyDescent="0.2">
      <c r="A6656">
        <v>0</v>
      </c>
    </row>
    <row r="6657" spans="1:1" x14ac:dyDescent="0.2">
      <c r="A6657">
        <v>0</v>
      </c>
    </row>
    <row r="6658" spans="1:1" x14ac:dyDescent="0.2">
      <c r="A6658">
        <v>0</v>
      </c>
    </row>
    <row r="6659" spans="1:1" x14ac:dyDescent="0.2">
      <c r="A6659">
        <v>0</v>
      </c>
    </row>
    <row r="6660" spans="1:1" x14ac:dyDescent="0.2">
      <c r="A6660">
        <v>0</v>
      </c>
    </row>
    <row r="6661" spans="1:1" x14ac:dyDescent="0.2">
      <c r="A6661">
        <v>0</v>
      </c>
    </row>
    <row r="6662" spans="1:1" x14ac:dyDescent="0.2">
      <c r="A6662">
        <v>0</v>
      </c>
    </row>
    <row r="6663" spans="1:1" x14ac:dyDescent="0.2">
      <c r="A6663">
        <v>0</v>
      </c>
    </row>
    <row r="6664" spans="1:1" x14ac:dyDescent="0.2">
      <c r="A6664">
        <v>0</v>
      </c>
    </row>
    <row r="6665" spans="1:1" x14ac:dyDescent="0.2">
      <c r="A6665">
        <v>0</v>
      </c>
    </row>
    <row r="6666" spans="1:1" x14ac:dyDescent="0.2">
      <c r="A6666">
        <v>0</v>
      </c>
    </row>
    <row r="6667" spans="1:1" x14ac:dyDescent="0.2">
      <c r="A6667">
        <v>0</v>
      </c>
    </row>
    <row r="6668" spans="1:1" x14ac:dyDescent="0.2">
      <c r="A6668">
        <v>0</v>
      </c>
    </row>
    <row r="6669" spans="1:1" x14ac:dyDescent="0.2">
      <c r="A6669">
        <v>0</v>
      </c>
    </row>
    <row r="6670" spans="1:1" x14ac:dyDescent="0.2">
      <c r="A6670">
        <v>0</v>
      </c>
    </row>
    <row r="6671" spans="1:1" x14ac:dyDescent="0.2">
      <c r="A6671">
        <v>0</v>
      </c>
    </row>
    <row r="6672" spans="1:1" x14ac:dyDescent="0.2">
      <c r="A6672">
        <v>0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0</v>
      </c>
    </row>
    <row r="6691" spans="1:1" x14ac:dyDescent="0.2">
      <c r="A6691">
        <v>0</v>
      </c>
    </row>
    <row r="6692" spans="1:1" x14ac:dyDescent="0.2">
      <c r="A6692">
        <v>0</v>
      </c>
    </row>
    <row r="6693" spans="1:1" x14ac:dyDescent="0.2">
      <c r="A6693">
        <v>0</v>
      </c>
    </row>
    <row r="6694" spans="1:1" x14ac:dyDescent="0.2">
      <c r="A6694">
        <v>0</v>
      </c>
    </row>
    <row r="6695" spans="1:1" x14ac:dyDescent="0.2">
      <c r="A6695">
        <v>0</v>
      </c>
    </row>
    <row r="6696" spans="1:1" x14ac:dyDescent="0.2">
      <c r="A6696">
        <v>0</v>
      </c>
    </row>
    <row r="6697" spans="1:1" x14ac:dyDescent="0.2">
      <c r="A6697">
        <v>0</v>
      </c>
    </row>
    <row r="6698" spans="1:1" x14ac:dyDescent="0.2">
      <c r="A6698">
        <v>0</v>
      </c>
    </row>
    <row r="6699" spans="1:1" x14ac:dyDescent="0.2">
      <c r="A6699">
        <v>0</v>
      </c>
    </row>
    <row r="6700" spans="1:1" x14ac:dyDescent="0.2">
      <c r="A6700">
        <v>0</v>
      </c>
    </row>
    <row r="6701" spans="1:1" x14ac:dyDescent="0.2">
      <c r="A6701">
        <v>0</v>
      </c>
    </row>
    <row r="6702" spans="1:1" x14ac:dyDescent="0.2">
      <c r="A6702">
        <v>0</v>
      </c>
    </row>
    <row r="6703" spans="1:1" x14ac:dyDescent="0.2">
      <c r="A6703">
        <v>0</v>
      </c>
    </row>
    <row r="6704" spans="1:1" x14ac:dyDescent="0.2">
      <c r="A6704">
        <v>0</v>
      </c>
    </row>
    <row r="6705" spans="1:1" x14ac:dyDescent="0.2">
      <c r="A6705">
        <v>0</v>
      </c>
    </row>
    <row r="6706" spans="1:1" x14ac:dyDescent="0.2">
      <c r="A6706">
        <v>0</v>
      </c>
    </row>
    <row r="6707" spans="1:1" x14ac:dyDescent="0.2">
      <c r="A6707">
        <v>0</v>
      </c>
    </row>
    <row r="6708" spans="1:1" x14ac:dyDescent="0.2">
      <c r="A6708">
        <v>0</v>
      </c>
    </row>
    <row r="6709" spans="1:1" x14ac:dyDescent="0.2">
      <c r="A6709">
        <v>0</v>
      </c>
    </row>
    <row r="6710" spans="1:1" x14ac:dyDescent="0.2">
      <c r="A6710">
        <v>0</v>
      </c>
    </row>
    <row r="6711" spans="1:1" x14ac:dyDescent="0.2">
      <c r="A6711">
        <v>0</v>
      </c>
    </row>
    <row r="6712" spans="1:1" x14ac:dyDescent="0.2">
      <c r="A6712">
        <v>0</v>
      </c>
    </row>
    <row r="6713" spans="1:1" x14ac:dyDescent="0.2">
      <c r="A6713">
        <v>0</v>
      </c>
    </row>
    <row r="6714" spans="1:1" x14ac:dyDescent="0.2">
      <c r="A6714">
        <v>0</v>
      </c>
    </row>
    <row r="6715" spans="1:1" x14ac:dyDescent="0.2">
      <c r="A6715">
        <v>0</v>
      </c>
    </row>
    <row r="6716" spans="1:1" x14ac:dyDescent="0.2">
      <c r="A6716">
        <v>0</v>
      </c>
    </row>
    <row r="6717" spans="1:1" x14ac:dyDescent="0.2">
      <c r="A6717">
        <v>0</v>
      </c>
    </row>
    <row r="6718" spans="1:1" x14ac:dyDescent="0.2">
      <c r="A6718">
        <v>0</v>
      </c>
    </row>
    <row r="6719" spans="1:1" x14ac:dyDescent="0.2">
      <c r="A6719">
        <v>0</v>
      </c>
    </row>
    <row r="6720" spans="1:1" x14ac:dyDescent="0.2">
      <c r="A6720">
        <v>0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0</v>
      </c>
    </row>
    <row r="6739" spans="1:1" x14ac:dyDescent="0.2">
      <c r="A6739">
        <v>0</v>
      </c>
    </row>
    <row r="6740" spans="1:1" x14ac:dyDescent="0.2">
      <c r="A6740">
        <v>0</v>
      </c>
    </row>
    <row r="6741" spans="1:1" x14ac:dyDescent="0.2">
      <c r="A6741">
        <v>0</v>
      </c>
    </row>
    <row r="6742" spans="1:1" x14ac:dyDescent="0.2">
      <c r="A6742">
        <v>0</v>
      </c>
    </row>
    <row r="6743" spans="1:1" x14ac:dyDescent="0.2">
      <c r="A6743">
        <v>0</v>
      </c>
    </row>
    <row r="6744" spans="1:1" x14ac:dyDescent="0.2">
      <c r="A6744">
        <v>0</v>
      </c>
    </row>
    <row r="6745" spans="1:1" x14ac:dyDescent="0.2">
      <c r="A6745">
        <v>0</v>
      </c>
    </row>
    <row r="6746" spans="1:1" x14ac:dyDescent="0.2">
      <c r="A6746">
        <v>0</v>
      </c>
    </row>
    <row r="6747" spans="1:1" x14ac:dyDescent="0.2">
      <c r="A6747">
        <v>0</v>
      </c>
    </row>
    <row r="6748" spans="1:1" x14ac:dyDescent="0.2">
      <c r="A6748">
        <v>0</v>
      </c>
    </row>
    <row r="6749" spans="1:1" x14ac:dyDescent="0.2">
      <c r="A6749">
        <v>0</v>
      </c>
    </row>
    <row r="6750" spans="1:1" x14ac:dyDescent="0.2">
      <c r="A6750">
        <v>0</v>
      </c>
    </row>
    <row r="6751" spans="1:1" x14ac:dyDescent="0.2">
      <c r="A6751">
        <v>0</v>
      </c>
    </row>
    <row r="6752" spans="1:1" x14ac:dyDescent="0.2">
      <c r="A6752">
        <v>0</v>
      </c>
    </row>
    <row r="6753" spans="1:1" x14ac:dyDescent="0.2">
      <c r="A6753">
        <v>0</v>
      </c>
    </row>
    <row r="6754" spans="1:1" x14ac:dyDescent="0.2">
      <c r="A6754">
        <v>0</v>
      </c>
    </row>
    <row r="6755" spans="1:1" x14ac:dyDescent="0.2">
      <c r="A6755">
        <v>0</v>
      </c>
    </row>
    <row r="6756" spans="1:1" x14ac:dyDescent="0.2">
      <c r="A6756">
        <v>0</v>
      </c>
    </row>
    <row r="6757" spans="1:1" x14ac:dyDescent="0.2">
      <c r="A6757">
        <v>0</v>
      </c>
    </row>
    <row r="6758" spans="1:1" x14ac:dyDescent="0.2">
      <c r="A6758">
        <v>0</v>
      </c>
    </row>
    <row r="6759" spans="1:1" x14ac:dyDescent="0.2">
      <c r="A6759">
        <v>0</v>
      </c>
    </row>
    <row r="6760" spans="1:1" x14ac:dyDescent="0.2">
      <c r="A6760">
        <v>0</v>
      </c>
    </row>
    <row r="6761" spans="1:1" x14ac:dyDescent="0.2">
      <c r="A6761">
        <v>0</v>
      </c>
    </row>
    <row r="6762" spans="1:1" x14ac:dyDescent="0.2">
      <c r="A6762">
        <v>0</v>
      </c>
    </row>
    <row r="6763" spans="1:1" x14ac:dyDescent="0.2">
      <c r="A6763">
        <v>0</v>
      </c>
    </row>
    <row r="6764" spans="1:1" x14ac:dyDescent="0.2">
      <c r="A6764">
        <v>0</v>
      </c>
    </row>
    <row r="6765" spans="1:1" x14ac:dyDescent="0.2">
      <c r="A6765">
        <v>0</v>
      </c>
    </row>
    <row r="6766" spans="1:1" x14ac:dyDescent="0.2">
      <c r="A6766">
        <v>0</v>
      </c>
    </row>
    <row r="6767" spans="1:1" x14ac:dyDescent="0.2">
      <c r="A6767">
        <v>0</v>
      </c>
    </row>
    <row r="6768" spans="1:1" x14ac:dyDescent="0.2">
      <c r="A6768">
        <v>0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0</v>
      </c>
    </row>
    <row r="6787" spans="1:1" x14ac:dyDescent="0.2">
      <c r="A6787">
        <v>0</v>
      </c>
    </row>
    <row r="6788" spans="1:1" x14ac:dyDescent="0.2">
      <c r="A6788">
        <v>0</v>
      </c>
    </row>
    <row r="6789" spans="1:1" x14ac:dyDescent="0.2">
      <c r="A6789">
        <v>0</v>
      </c>
    </row>
    <row r="6790" spans="1:1" x14ac:dyDescent="0.2">
      <c r="A6790">
        <v>0</v>
      </c>
    </row>
    <row r="6791" spans="1:1" x14ac:dyDescent="0.2">
      <c r="A6791">
        <v>0</v>
      </c>
    </row>
    <row r="6792" spans="1:1" x14ac:dyDescent="0.2">
      <c r="A6792">
        <v>0</v>
      </c>
    </row>
    <row r="6793" spans="1:1" x14ac:dyDescent="0.2">
      <c r="A6793">
        <v>0</v>
      </c>
    </row>
    <row r="6794" spans="1:1" x14ac:dyDescent="0.2">
      <c r="A6794">
        <v>0</v>
      </c>
    </row>
    <row r="6795" spans="1:1" x14ac:dyDescent="0.2">
      <c r="A6795">
        <v>0</v>
      </c>
    </row>
    <row r="6796" spans="1:1" x14ac:dyDescent="0.2">
      <c r="A6796">
        <v>0</v>
      </c>
    </row>
    <row r="6797" spans="1:1" x14ac:dyDescent="0.2">
      <c r="A6797">
        <v>0</v>
      </c>
    </row>
    <row r="6798" spans="1:1" x14ac:dyDescent="0.2">
      <c r="A6798">
        <v>0</v>
      </c>
    </row>
    <row r="6799" spans="1:1" x14ac:dyDescent="0.2">
      <c r="A6799">
        <v>0</v>
      </c>
    </row>
    <row r="6800" spans="1:1" x14ac:dyDescent="0.2">
      <c r="A6800">
        <v>0</v>
      </c>
    </row>
    <row r="6801" spans="1:1" x14ac:dyDescent="0.2">
      <c r="A6801">
        <v>0</v>
      </c>
    </row>
    <row r="6802" spans="1:1" x14ac:dyDescent="0.2">
      <c r="A6802">
        <v>0</v>
      </c>
    </row>
    <row r="6803" spans="1:1" x14ac:dyDescent="0.2">
      <c r="A6803">
        <v>0</v>
      </c>
    </row>
    <row r="6804" spans="1:1" x14ac:dyDescent="0.2">
      <c r="A6804">
        <v>0</v>
      </c>
    </row>
    <row r="6805" spans="1:1" x14ac:dyDescent="0.2">
      <c r="A6805">
        <v>0</v>
      </c>
    </row>
    <row r="6806" spans="1:1" x14ac:dyDescent="0.2">
      <c r="A6806">
        <v>0</v>
      </c>
    </row>
    <row r="6807" spans="1:1" x14ac:dyDescent="0.2">
      <c r="A6807">
        <v>0</v>
      </c>
    </row>
    <row r="6808" spans="1:1" x14ac:dyDescent="0.2">
      <c r="A6808">
        <v>0</v>
      </c>
    </row>
    <row r="6809" spans="1:1" x14ac:dyDescent="0.2">
      <c r="A6809">
        <v>0</v>
      </c>
    </row>
    <row r="6810" spans="1:1" x14ac:dyDescent="0.2">
      <c r="A6810">
        <v>0</v>
      </c>
    </row>
    <row r="6811" spans="1:1" x14ac:dyDescent="0.2">
      <c r="A6811">
        <v>0</v>
      </c>
    </row>
    <row r="6812" spans="1:1" x14ac:dyDescent="0.2">
      <c r="A6812">
        <v>0</v>
      </c>
    </row>
    <row r="6813" spans="1:1" x14ac:dyDescent="0.2">
      <c r="A6813">
        <v>0</v>
      </c>
    </row>
    <row r="6814" spans="1:1" x14ac:dyDescent="0.2">
      <c r="A6814">
        <v>0</v>
      </c>
    </row>
    <row r="6815" spans="1:1" x14ac:dyDescent="0.2">
      <c r="A6815">
        <v>0</v>
      </c>
    </row>
    <row r="6816" spans="1:1" x14ac:dyDescent="0.2">
      <c r="A6816">
        <v>0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0</v>
      </c>
    </row>
    <row r="6835" spans="1:1" x14ac:dyDescent="0.2">
      <c r="A6835">
        <v>0</v>
      </c>
    </row>
    <row r="6836" spans="1:1" x14ac:dyDescent="0.2">
      <c r="A6836">
        <v>0</v>
      </c>
    </row>
    <row r="6837" spans="1:1" x14ac:dyDescent="0.2">
      <c r="A6837">
        <v>0</v>
      </c>
    </row>
    <row r="6838" spans="1:1" x14ac:dyDescent="0.2">
      <c r="A6838">
        <v>0</v>
      </c>
    </row>
    <row r="6839" spans="1:1" x14ac:dyDescent="0.2">
      <c r="A6839">
        <v>0</v>
      </c>
    </row>
    <row r="6840" spans="1:1" x14ac:dyDescent="0.2">
      <c r="A6840">
        <v>0</v>
      </c>
    </row>
    <row r="6841" spans="1:1" x14ac:dyDescent="0.2">
      <c r="A6841">
        <v>0</v>
      </c>
    </row>
    <row r="6842" spans="1:1" x14ac:dyDescent="0.2">
      <c r="A6842">
        <v>0</v>
      </c>
    </row>
    <row r="6843" spans="1:1" x14ac:dyDescent="0.2">
      <c r="A6843">
        <v>0</v>
      </c>
    </row>
    <row r="6844" spans="1:1" x14ac:dyDescent="0.2">
      <c r="A6844">
        <v>0</v>
      </c>
    </row>
    <row r="6845" spans="1:1" x14ac:dyDescent="0.2">
      <c r="A6845">
        <v>0</v>
      </c>
    </row>
    <row r="6846" spans="1:1" x14ac:dyDescent="0.2">
      <c r="A6846">
        <v>0</v>
      </c>
    </row>
    <row r="6847" spans="1:1" x14ac:dyDescent="0.2">
      <c r="A6847">
        <v>0</v>
      </c>
    </row>
    <row r="6848" spans="1:1" x14ac:dyDescent="0.2">
      <c r="A6848">
        <v>0</v>
      </c>
    </row>
    <row r="6849" spans="1:1" x14ac:dyDescent="0.2">
      <c r="A6849">
        <v>0</v>
      </c>
    </row>
    <row r="6850" spans="1:1" x14ac:dyDescent="0.2">
      <c r="A6850">
        <v>0</v>
      </c>
    </row>
    <row r="6851" spans="1:1" x14ac:dyDescent="0.2">
      <c r="A6851">
        <v>0</v>
      </c>
    </row>
    <row r="6852" spans="1:1" x14ac:dyDescent="0.2">
      <c r="A6852">
        <v>0</v>
      </c>
    </row>
    <row r="6853" spans="1:1" x14ac:dyDescent="0.2">
      <c r="A6853">
        <v>0</v>
      </c>
    </row>
    <row r="6854" spans="1:1" x14ac:dyDescent="0.2">
      <c r="A6854">
        <v>0</v>
      </c>
    </row>
    <row r="6855" spans="1:1" x14ac:dyDescent="0.2">
      <c r="A6855">
        <v>0</v>
      </c>
    </row>
    <row r="6856" spans="1:1" x14ac:dyDescent="0.2">
      <c r="A6856">
        <v>0</v>
      </c>
    </row>
    <row r="6857" spans="1:1" x14ac:dyDescent="0.2">
      <c r="A6857">
        <v>0</v>
      </c>
    </row>
    <row r="6858" spans="1:1" x14ac:dyDescent="0.2">
      <c r="A6858">
        <v>0</v>
      </c>
    </row>
    <row r="6859" spans="1:1" x14ac:dyDescent="0.2">
      <c r="A6859">
        <v>0</v>
      </c>
    </row>
    <row r="6860" spans="1:1" x14ac:dyDescent="0.2">
      <c r="A6860">
        <v>0</v>
      </c>
    </row>
    <row r="6861" spans="1:1" x14ac:dyDescent="0.2">
      <c r="A6861">
        <v>0</v>
      </c>
    </row>
    <row r="6862" spans="1:1" x14ac:dyDescent="0.2">
      <c r="A6862">
        <v>0</v>
      </c>
    </row>
    <row r="6863" spans="1:1" x14ac:dyDescent="0.2">
      <c r="A6863">
        <v>0</v>
      </c>
    </row>
    <row r="6864" spans="1:1" x14ac:dyDescent="0.2">
      <c r="A6864">
        <v>0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0</v>
      </c>
    </row>
    <row r="6883" spans="1:1" x14ac:dyDescent="0.2">
      <c r="A6883">
        <v>0</v>
      </c>
    </row>
    <row r="6884" spans="1:1" x14ac:dyDescent="0.2">
      <c r="A6884">
        <v>0</v>
      </c>
    </row>
    <row r="6885" spans="1:1" x14ac:dyDescent="0.2">
      <c r="A6885">
        <v>0</v>
      </c>
    </row>
    <row r="6886" spans="1:1" x14ac:dyDescent="0.2">
      <c r="A6886">
        <v>0</v>
      </c>
    </row>
    <row r="6887" spans="1:1" x14ac:dyDescent="0.2">
      <c r="A6887">
        <v>0</v>
      </c>
    </row>
    <row r="6888" spans="1:1" x14ac:dyDescent="0.2">
      <c r="A6888">
        <v>0</v>
      </c>
    </row>
    <row r="6889" spans="1:1" x14ac:dyDescent="0.2">
      <c r="A6889">
        <v>0</v>
      </c>
    </row>
    <row r="6890" spans="1:1" x14ac:dyDescent="0.2">
      <c r="A6890">
        <v>0</v>
      </c>
    </row>
    <row r="6891" spans="1:1" x14ac:dyDescent="0.2">
      <c r="A6891">
        <v>0</v>
      </c>
    </row>
    <row r="6892" spans="1:1" x14ac:dyDescent="0.2">
      <c r="A6892">
        <v>0</v>
      </c>
    </row>
    <row r="6893" spans="1:1" x14ac:dyDescent="0.2">
      <c r="A6893">
        <v>0</v>
      </c>
    </row>
    <row r="6894" spans="1:1" x14ac:dyDescent="0.2">
      <c r="A6894">
        <v>0</v>
      </c>
    </row>
    <row r="6895" spans="1:1" x14ac:dyDescent="0.2">
      <c r="A6895">
        <v>0</v>
      </c>
    </row>
    <row r="6896" spans="1:1" x14ac:dyDescent="0.2">
      <c r="A6896">
        <v>0</v>
      </c>
    </row>
    <row r="6897" spans="1:1" x14ac:dyDescent="0.2">
      <c r="A6897">
        <v>0</v>
      </c>
    </row>
    <row r="6898" spans="1:1" x14ac:dyDescent="0.2">
      <c r="A6898">
        <v>0</v>
      </c>
    </row>
    <row r="6899" spans="1:1" x14ac:dyDescent="0.2">
      <c r="A6899">
        <v>0</v>
      </c>
    </row>
    <row r="6900" spans="1:1" x14ac:dyDescent="0.2">
      <c r="A6900">
        <v>0</v>
      </c>
    </row>
    <row r="6901" spans="1:1" x14ac:dyDescent="0.2">
      <c r="A6901">
        <v>0</v>
      </c>
    </row>
    <row r="6902" spans="1:1" x14ac:dyDescent="0.2">
      <c r="A6902">
        <v>0</v>
      </c>
    </row>
    <row r="6903" spans="1:1" x14ac:dyDescent="0.2">
      <c r="A6903">
        <v>0</v>
      </c>
    </row>
    <row r="6904" spans="1:1" x14ac:dyDescent="0.2">
      <c r="A6904">
        <v>0</v>
      </c>
    </row>
    <row r="6905" spans="1:1" x14ac:dyDescent="0.2">
      <c r="A6905">
        <v>0</v>
      </c>
    </row>
    <row r="6906" spans="1:1" x14ac:dyDescent="0.2">
      <c r="A6906">
        <v>0</v>
      </c>
    </row>
    <row r="6907" spans="1:1" x14ac:dyDescent="0.2">
      <c r="A6907">
        <v>0</v>
      </c>
    </row>
    <row r="6908" spans="1:1" x14ac:dyDescent="0.2">
      <c r="A6908">
        <v>0</v>
      </c>
    </row>
    <row r="6909" spans="1:1" x14ac:dyDescent="0.2">
      <c r="A6909">
        <v>0</v>
      </c>
    </row>
    <row r="6910" spans="1:1" x14ac:dyDescent="0.2">
      <c r="A6910">
        <v>0</v>
      </c>
    </row>
    <row r="6911" spans="1:1" x14ac:dyDescent="0.2">
      <c r="A6911">
        <v>0</v>
      </c>
    </row>
    <row r="6912" spans="1:1" x14ac:dyDescent="0.2">
      <c r="A6912">
        <v>0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0</v>
      </c>
    </row>
    <row r="6931" spans="1:1" x14ac:dyDescent="0.2">
      <c r="A6931">
        <v>0</v>
      </c>
    </row>
    <row r="6932" spans="1:1" x14ac:dyDescent="0.2">
      <c r="A6932">
        <v>0</v>
      </c>
    </row>
    <row r="6933" spans="1:1" x14ac:dyDescent="0.2">
      <c r="A6933">
        <v>0</v>
      </c>
    </row>
    <row r="6934" spans="1:1" x14ac:dyDescent="0.2">
      <c r="A6934">
        <v>0</v>
      </c>
    </row>
    <row r="6935" spans="1:1" x14ac:dyDescent="0.2">
      <c r="A6935">
        <v>0</v>
      </c>
    </row>
    <row r="6936" spans="1:1" x14ac:dyDescent="0.2">
      <c r="A6936">
        <v>0</v>
      </c>
    </row>
    <row r="6937" spans="1:1" x14ac:dyDescent="0.2">
      <c r="A6937">
        <v>0</v>
      </c>
    </row>
    <row r="6938" spans="1:1" x14ac:dyDescent="0.2">
      <c r="A6938">
        <v>0</v>
      </c>
    </row>
    <row r="6939" spans="1:1" x14ac:dyDescent="0.2">
      <c r="A6939">
        <v>0</v>
      </c>
    </row>
    <row r="6940" spans="1:1" x14ac:dyDescent="0.2">
      <c r="A6940">
        <v>0</v>
      </c>
    </row>
    <row r="6941" spans="1:1" x14ac:dyDescent="0.2">
      <c r="A6941">
        <v>0</v>
      </c>
    </row>
    <row r="6942" spans="1:1" x14ac:dyDescent="0.2">
      <c r="A6942">
        <v>0</v>
      </c>
    </row>
    <row r="6943" spans="1:1" x14ac:dyDescent="0.2">
      <c r="A6943">
        <v>0</v>
      </c>
    </row>
    <row r="6944" spans="1:1" x14ac:dyDescent="0.2">
      <c r="A6944">
        <v>0</v>
      </c>
    </row>
    <row r="6945" spans="1:1" x14ac:dyDescent="0.2">
      <c r="A6945">
        <v>0</v>
      </c>
    </row>
    <row r="6946" spans="1:1" x14ac:dyDescent="0.2">
      <c r="A6946">
        <v>0</v>
      </c>
    </row>
    <row r="6947" spans="1:1" x14ac:dyDescent="0.2">
      <c r="A6947">
        <v>0</v>
      </c>
    </row>
    <row r="6948" spans="1:1" x14ac:dyDescent="0.2">
      <c r="A6948">
        <v>0</v>
      </c>
    </row>
    <row r="6949" spans="1:1" x14ac:dyDescent="0.2">
      <c r="A6949">
        <v>0</v>
      </c>
    </row>
    <row r="6950" spans="1:1" x14ac:dyDescent="0.2">
      <c r="A6950">
        <v>0</v>
      </c>
    </row>
    <row r="6951" spans="1:1" x14ac:dyDescent="0.2">
      <c r="A6951">
        <v>0</v>
      </c>
    </row>
    <row r="6952" spans="1:1" x14ac:dyDescent="0.2">
      <c r="A6952">
        <v>0</v>
      </c>
    </row>
    <row r="6953" spans="1:1" x14ac:dyDescent="0.2">
      <c r="A6953">
        <v>0</v>
      </c>
    </row>
    <row r="6954" spans="1:1" x14ac:dyDescent="0.2">
      <c r="A6954">
        <v>0</v>
      </c>
    </row>
    <row r="6955" spans="1:1" x14ac:dyDescent="0.2">
      <c r="A6955">
        <v>0</v>
      </c>
    </row>
    <row r="6956" spans="1:1" x14ac:dyDescent="0.2">
      <c r="A6956">
        <v>0</v>
      </c>
    </row>
    <row r="6957" spans="1:1" x14ac:dyDescent="0.2">
      <c r="A6957">
        <v>0</v>
      </c>
    </row>
    <row r="6958" spans="1:1" x14ac:dyDescent="0.2">
      <c r="A6958">
        <v>0</v>
      </c>
    </row>
    <row r="6959" spans="1:1" x14ac:dyDescent="0.2">
      <c r="A6959">
        <v>0</v>
      </c>
    </row>
    <row r="6960" spans="1:1" x14ac:dyDescent="0.2">
      <c r="A6960">
        <v>0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0</v>
      </c>
    </row>
    <row r="6979" spans="1:1" x14ac:dyDescent="0.2">
      <c r="A6979">
        <v>0</v>
      </c>
    </row>
    <row r="6980" spans="1:1" x14ac:dyDescent="0.2">
      <c r="A6980">
        <v>0</v>
      </c>
    </row>
    <row r="6981" spans="1:1" x14ac:dyDescent="0.2">
      <c r="A6981">
        <v>0</v>
      </c>
    </row>
    <row r="6982" spans="1:1" x14ac:dyDescent="0.2">
      <c r="A6982">
        <v>0</v>
      </c>
    </row>
    <row r="6983" spans="1:1" x14ac:dyDescent="0.2">
      <c r="A6983">
        <v>0</v>
      </c>
    </row>
    <row r="6984" spans="1:1" x14ac:dyDescent="0.2">
      <c r="A6984">
        <v>0</v>
      </c>
    </row>
    <row r="6985" spans="1:1" x14ac:dyDescent="0.2">
      <c r="A6985">
        <v>0</v>
      </c>
    </row>
    <row r="6986" spans="1:1" x14ac:dyDescent="0.2">
      <c r="A6986">
        <v>0</v>
      </c>
    </row>
    <row r="6987" spans="1:1" x14ac:dyDescent="0.2">
      <c r="A6987">
        <v>0</v>
      </c>
    </row>
    <row r="6988" spans="1:1" x14ac:dyDescent="0.2">
      <c r="A6988">
        <v>0</v>
      </c>
    </row>
    <row r="6989" spans="1:1" x14ac:dyDescent="0.2">
      <c r="A6989">
        <v>0</v>
      </c>
    </row>
    <row r="6990" spans="1:1" x14ac:dyDescent="0.2">
      <c r="A6990">
        <v>0</v>
      </c>
    </row>
    <row r="6991" spans="1:1" x14ac:dyDescent="0.2">
      <c r="A6991">
        <v>0</v>
      </c>
    </row>
    <row r="6992" spans="1:1" x14ac:dyDescent="0.2">
      <c r="A6992">
        <v>0</v>
      </c>
    </row>
    <row r="6993" spans="1:1" x14ac:dyDescent="0.2">
      <c r="A6993">
        <v>0</v>
      </c>
    </row>
    <row r="6994" spans="1:1" x14ac:dyDescent="0.2">
      <c r="A6994">
        <v>0</v>
      </c>
    </row>
    <row r="6995" spans="1:1" x14ac:dyDescent="0.2">
      <c r="A6995">
        <v>0</v>
      </c>
    </row>
    <row r="6996" spans="1:1" x14ac:dyDescent="0.2">
      <c r="A6996">
        <v>0</v>
      </c>
    </row>
    <row r="6997" spans="1:1" x14ac:dyDescent="0.2">
      <c r="A6997">
        <v>0</v>
      </c>
    </row>
    <row r="6998" spans="1:1" x14ac:dyDescent="0.2">
      <c r="A6998">
        <v>0</v>
      </c>
    </row>
    <row r="6999" spans="1:1" x14ac:dyDescent="0.2">
      <c r="A6999">
        <v>0</v>
      </c>
    </row>
    <row r="7000" spans="1:1" x14ac:dyDescent="0.2">
      <c r="A7000">
        <v>0</v>
      </c>
    </row>
    <row r="7001" spans="1:1" x14ac:dyDescent="0.2">
      <c r="A7001">
        <v>0</v>
      </c>
    </row>
    <row r="7002" spans="1:1" x14ac:dyDescent="0.2">
      <c r="A7002">
        <v>0</v>
      </c>
    </row>
    <row r="7003" spans="1:1" x14ac:dyDescent="0.2">
      <c r="A7003">
        <v>0</v>
      </c>
    </row>
    <row r="7004" spans="1:1" x14ac:dyDescent="0.2">
      <c r="A7004">
        <v>0</v>
      </c>
    </row>
    <row r="7005" spans="1:1" x14ac:dyDescent="0.2">
      <c r="A7005">
        <v>0</v>
      </c>
    </row>
    <row r="7006" spans="1:1" x14ac:dyDescent="0.2">
      <c r="A7006">
        <v>0</v>
      </c>
    </row>
    <row r="7007" spans="1:1" x14ac:dyDescent="0.2">
      <c r="A7007">
        <v>0</v>
      </c>
    </row>
    <row r="7008" spans="1:1" x14ac:dyDescent="0.2">
      <c r="A7008">
        <v>0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0</v>
      </c>
    </row>
    <row r="7027" spans="1:1" x14ac:dyDescent="0.2">
      <c r="A7027">
        <v>0</v>
      </c>
    </row>
    <row r="7028" spans="1:1" x14ac:dyDescent="0.2">
      <c r="A7028">
        <v>0</v>
      </c>
    </row>
    <row r="7029" spans="1:1" x14ac:dyDescent="0.2">
      <c r="A7029">
        <v>0</v>
      </c>
    </row>
    <row r="7030" spans="1:1" x14ac:dyDescent="0.2">
      <c r="A7030">
        <v>0</v>
      </c>
    </row>
    <row r="7031" spans="1:1" x14ac:dyDescent="0.2">
      <c r="A7031">
        <v>0</v>
      </c>
    </row>
    <row r="7032" spans="1:1" x14ac:dyDescent="0.2">
      <c r="A7032">
        <v>0</v>
      </c>
    </row>
    <row r="7033" spans="1:1" x14ac:dyDescent="0.2">
      <c r="A7033">
        <v>0</v>
      </c>
    </row>
    <row r="7034" spans="1:1" x14ac:dyDescent="0.2">
      <c r="A7034">
        <v>0</v>
      </c>
    </row>
    <row r="7035" spans="1:1" x14ac:dyDescent="0.2">
      <c r="A7035">
        <v>0</v>
      </c>
    </row>
    <row r="7036" spans="1:1" x14ac:dyDescent="0.2">
      <c r="A7036">
        <v>0</v>
      </c>
    </row>
    <row r="7037" spans="1:1" x14ac:dyDescent="0.2">
      <c r="A7037">
        <v>0</v>
      </c>
    </row>
    <row r="7038" spans="1:1" x14ac:dyDescent="0.2">
      <c r="A7038">
        <v>0</v>
      </c>
    </row>
    <row r="7039" spans="1:1" x14ac:dyDescent="0.2">
      <c r="A7039">
        <v>0</v>
      </c>
    </row>
    <row r="7040" spans="1:1" x14ac:dyDescent="0.2">
      <c r="A7040">
        <v>0</v>
      </c>
    </row>
    <row r="7041" spans="1:1" x14ac:dyDescent="0.2">
      <c r="A7041">
        <v>0</v>
      </c>
    </row>
    <row r="7042" spans="1:1" x14ac:dyDescent="0.2">
      <c r="A7042">
        <v>0</v>
      </c>
    </row>
    <row r="7043" spans="1:1" x14ac:dyDescent="0.2">
      <c r="A7043">
        <v>0</v>
      </c>
    </row>
    <row r="7044" spans="1:1" x14ac:dyDescent="0.2">
      <c r="A7044">
        <v>0</v>
      </c>
    </row>
    <row r="7045" spans="1:1" x14ac:dyDescent="0.2">
      <c r="A7045">
        <v>0</v>
      </c>
    </row>
    <row r="7046" spans="1:1" x14ac:dyDescent="0.2">
      <c r="A7046">
        <v>0</v>
      </c>
    </row>
    <row r="7047" spans="1:1" x14ac:dyDescent="0.2">
      <c r="A7047">
        <v>0</v>
      </c>
    </row>
    <row r="7048" spans="1:1" x14ac:dyDescent="0.2">
      <c r="A7048">
        <v>0</v>
      </c>
    </row>
    <row r="7049" spans="1:1" x14ac:dyDescent="0.2">
      <c r="A7049">
        <v>0</v>
      </c>
    </row>
    <row r="7050" spans="1:1" x14ac:dyDescent="0.2">
      <c r="A7050">
        <v>0</v>
      </c>
    </row>
    <row r="7051" spans="1:1" x14ac:dyDescent="0.2">
      <c r="A7051">
        <v>0</v>
      </c>
    </row>
    <row r="7052" spans="1:1" x14ac:dyDescent="0.2">
      <c r="A7052">
        <v>0</v>
      </c>
    </row>
    <row r="7053" spans="1:1" x14ac:dyDescent="0.2">
      <c r="A7053">
        <v>0</v>
      </c>
    </row>
    <row r="7054" spans="1:1" x14ac:dyDescent="0.2">
      <c r="A7054">
        <v>0</v>
      </c>
    </row>
    <row r="7055" spans="1:1" x14ac:dyDescent="0.2">
      <c r="A7055">
        <v>0</v>
      </c>
    </row>
    <row r="7056" spans="1:1" x14ac:dyDescent="0.2">
      <c r="A7056">
        <v>0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0</v>
      </c>
    </row>
    <row r="7075" spans="1:1" x14ac:dyDescent="0.2">
      <c r="A7075">
        <v>0</v>
      </c>
    </row>
    <row r="7076" spans="1:1" x14ac:dyDescent="0.2">
      <c r="A7076">
        <v>0</v>
      </c>
    </row>
    <row r="7077" spans="1:1" x14ac:dyDescent="0.2">
      <c r="A7077">
        <v>0</v>
      </c>
    </row>
    <row r="7078" spans="1:1" x14ac:dyDescent="0.2">
      <c r="A7078">
        <v>0</v>
      </c>
    </row>
    <row r="7079" spans="1:1" x14ac:dyDescent="0.2">
      <c r="A7079">
        <v>0</v>
      </c>
    </row>
    <row r="7080" spans="1:1" x14ac:dyDescent="0.2">
      <c r="A7080">
        <v>0</v>
      </c>
    </row>
    <row r="7081" spans="1:1" x14ac:dyDescent="0.2">
      <c r="A7081">
        <v>0</v>
      </c>
    </row>
    <row r="7082" spans="1:1" x14ac:dyDescent="0.2">
      <c r="A7082">
        <v>0</v>
      </c>
    </row>
    <row r="7083" spans="1:1" x14ac:dyDescent="0.2">
      <c r="A7083">
        <v>0</v>
      </c>
    </row>
    <row r="7084" spans="1:1" x14ac:dyDescent="0.2">
      <c r="A7084">
        <v>0</v>
      </c>
    </row>
    <row r="7085" spans="1:1" x14ac:dyDescent="0.2">
      <c r="A7085">
        <v>0</v>
      </c>
    </row>
    <row r="7086" spans="1:1" x14ac:dyDescent="0.2">
      <c r="A7086">
        <v>0</v>
      </c>
    </row>
    <row r="7087" spans="1:1" x14ac:dyDescent="0.2">
      <c r="A7087">
        <v>0</v>
      </c>
    </row>
    <row r="7088" spans="1:1" x14ac:dyDescent="0.2">
      <c r="A7088">
        <v>0</v>
      </c>
    </row>
    <row r="7089" spans="1:1" x14ac:dyDescent="0.2">
      <c r="A7089">
        <v>0</v>
      </c>
    </row>
    <row r="7090" spans="1:1" x14ac:dyDescent="0.2">
      <c r="A7090">
        <v>0</v>
      </c>
    </row>
    <row r="7091" spans="1:1" x14ac:dyDescent="0.2">
      <c r="A7091">
        <v>0</v>
      </c>
    </row>
    <row r="7092" spans="1:1" x14ac:dyDescent="0.2">
      <c r="A7092">
        <v>0</v>
      </c>
    </row>
    <row r="7093" spans="1:1" x14ac:dyDescent="0.2">
      <c r="A7093">
        <v>0</v>
      </c>
    </row>
    <row r="7094" spans="1:1" x14ac:dyDescent="0.2">
      <c r="A7094">
        <v>0</v>
      </c>
    </row>
    <row r="7095" spans="1:1" x14ac:dyDescent="0.2">
      <c r="A7095">
        <v>0</v>
      </c>
    </row>
    <row r="7096" spans="1:1" x14ac:dyDescent="0.2">
      <c r="A7096">
        <v>0</v>
      </c>
    </row>
    <row r="7097" spans="1:1" x14ac:dyDescent="0.2">
      <c r="A7097">
        <v>0</v>
      </c>
    </row>
    <row r="7098" spans="1:1" x14ac:dyDescent="0.2">
      <c r="A7098">
        <v>0</v>
      </c>
    </row>
    <row r="7099" spans="1:1" x14ac:dyDescent="0.2">
      <c r="A7099">
        <v>0</v>
      </c>
    </row>
    <row r="7100" spans="1:1" x14ac:dyDescent="0.2">
      <c r="A7100">
        <v>0</v>
      </c>
    </row>
    <row r="7101" spans="1:1" x14ac:dyDescent="0.2">
      <c r="A7101">
        <v>0</v>
      </c>
    </row>
    <row r="7102" spans="1:1" x14ac:dyDescent="0.2">
      <c r="A7102">
        <v>0</v>
      </c>
    </row>
    <row r="7103" spans="1:1" x14ac:dyDescent="0.2">
      <c r="A7103">
        <v>0</v>
      </c>
    </row>
    <row r="7104" spans="1:1" x14ac:dyDescent="0.2">
      <c r="A7104">
        <v>0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0</v>
      </c>
    </row>
    <row r="7123" spans="1:1" x14ac:dyDescent="0.2">
      <c r="A7123">
        <v>0</v>
      </c>
    </row>
    <row r="7124" spans="1:1" x14ac:dyDescent="0.2">
      <c r="A7124">
        <v>0</v>
      </c>
    </row>
    <row r="7125" spans="1:1" x14ac:dyDescent="0.2">
      <c r="A7125">
        <v>0</v>
      </c>
    </row>
    <row r="7126" spans="1:1" x14ac:dyDescent="0.2">
      <c r="A7126">
        <v>0</v>
      </c>
    </row>
    <row r="7127" spans="1:1" x14ac:dyDescent="0.2">
      <c r="A7127">
        <v>0</v>
      </c>
    </row>
    <row r="7128" spans="1:1" x14ac:dyDescent="0.2">
      <c r="A7128">
        <v>0</v>
      </c>
    </row>
    <row r="7129" spans="1:1" x14ac:dyDescent="0.2">
      <c r="A7129">
        <v>0</v>
      </c>
    </row>
    <row r="7130" spans="1:1" x14ac:dyDescent="0.2">
      <c r="A7130">
        <v>0</v>
      </c>
    </row>
    <row r="7131" spans="1:1" x14ac:dyDescent="0.2">
      <c r="A7131">
        <v>0</v>
      </c>
    </row>
    <row r="7132" spans="1:1" x14ac:dyDescent="0.2">
      <c r="A7132">
        <v>0</v>
      </c>
    </row>
    <row r="7133" spans="1:1" x14ac:dyDescent="0.2">
      <c r="A7133">
        <v>0</v>
      </c>
    </row>
    <row r="7134" spans="1:1" x14ac:dyDescent="0.2">
      <c r="A7134">
        <v>0</v>
      </c>
    </row>
    <row r="7135" spans="1:1" x14ac:dyDescent="0.2">
      <c r="A7135">
        <v>0</v>
      </c>
    </row>
    <row r="7136" spans="1:1" x14ac:dyDescent="0.2">
      <c r="A7136">
        <v>0</v>
      </c>
    </row>
    <row r="7137" spans="1:1" x14ac:dyDescent="0.2">
      <c r="A7137">
        <v>0</v>
      </c>
    </row>
    <row r="7138" spans="1:1" x14ac:dyDescent="0.2">
      <c r="A7138">
        <v>0</v>
      </c>
    </row>
    <row r="7139" spans="1:1" x14ac:dyDescent="0.2">
      <c r="A7139">
        <v>0</v>
      </c>
    </row>
    <row r="7140" spans="1:1" x14ac:dyDescent="0.2">
      <c r="A7140">
        <v>0</v>
      </c>
    </row>
    <row r="7141" spans="1:1" x14ac:dyDescent="0.2">
      <c r="A7141">
        <v>0</v>
      </c>
    </row>
    <row r="7142" spans="1:1" x14ac:dyDescent="0.2">
      <c r="A7142">
        <v>0</v>
      </c>
    </row>
    <row r="7143" spans="1:1" x14ac:dyDescent="0.2">
      <c r="A7143">
        <v>0</v>
      </c>
    </row>
    <row r="7144" spans="1:1" x14ac:dyDescent="0.2">
      <c r="A7144">
        <v>0</v>
      </c>
    </row>
    <row r="7145" spans="1:1" x14ac:dyDescent="0.2">
      <c r="A7145">
        <v>0</v>
      </c>
    </row>
    <row r="7146" spans="1:1" x14ac:dyDescent="0.2">
      <c r="A7146">
        <v>0</v>
      </c>
    </row>
    <row r="7147" spans="1:1" x14ac:dyDescent="0.2">
      <c r="A7147">
        <v>0</v>
      </c>
    </row>
    <row r="7148" spans="1:1" x14ac:dyDescent="0.2">
      <c r="A7148">
        <v>0</v>
      </c>
    </row>
    <row r="7149" spans="1:1" x14ac:dyDescent="0.2">
      <c r="A7149">
        <v>0</v>
      </c>
    </row>
    <row r="7150" spans="1:1" x14ac:dyDescent="0.2">
      <c r="A7150">
        <v>0</v>
      </c>
    </row>
    <row r="7151" spans="1:1" x14ac:dyDescent="0.2">
      <c r="A7151">
        <v>0</v>
      </c>
    </row>
    <row r="7152" spans="1:1" x14ac:dyDescent="0.2">
      <c r="A7152">
        <v>0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0</v>
      </c>
    </row>
    <row r="7171" spans="1:1" x14ac:dyDescent="0.2">
      <c r="A7171">
        <v>0</v>
      </c>
    </row>
    <row r="7172" spans="1:1" x14ac:dyDescent="0.2">
      <c r="A7172">
        <v>0</v>
      </c>
    </row>
    <row r="7173" spans="1:1" x14ac:dyDescent="0.2">
      <c r="A7173">
        <v>0</v>
      </c>
    </row>
    <row r="7174" spans="1:1" x14ac:dyDescent="0.2">
      <c r="A7174">
        <v>0</v>
      </c>
    </row>
    <row r="7175" spans="1:1" x14ac:dyDescent="0.2">
      <c r="A7175">
        <v>0</v>
      </c>
    </row>
    <row r="7176" spans="1:1" x14ac:dyDescent="0.2">
      <c r="A7176">
        <v>0</v>
      </c>
    </row>
    <row r="7177" spans="1:1" x14ac:dyDescent="0.2">
      <c r="A7177">
        <v>0</v>
      </c>
    </row>
    <row r="7178" spans="1:1" x14ac:dyDescent="0.2">
      <c r="A7178">
        <v>0</v>
      </c>
    </row>
    <row r="7179" spans="1:1" x14ac:dyDescent="0.2">
      <c r="A7179">
        <v>0</v>
      </c>
    </row>
    <row r="7180" spans="1:1" x14ac:dyDescent="0.2">
      <c r="A7180">
        <v>0</v>
      </c>
    </row>
    <row r="7181" spans="1:1" x14ac:dyDescent="0.2">
      <c r="A7181">
        <v>0</v>
      </c>
    </row>
    <row r="7182" spans="1:1" x14ac:dyDescent="0.2">
      <c r="A7182">
        <v>0</v>
      </c>
    </row>
    <row r="7183" spans="1:1" x14ac:dyDescent="0.2">
      <c r="A7183">
        <v>0</v>
      </c>
    </row>
    <row r="7184" spans="1:1" x14ac:dyDescent="0.2">
      <c r="A7184">
        <v>0</v>
      </c>
    </row>
    <row r="7185" spans="1:1" x14ac:dyDescent="0.2">
      <c r="A7185">
        <v>0</v>
      </c>
    </row>
    <row r="7186" spans="1:1" x14ac:dyDescent="0.2">
      <c r="A7186">
        <v>0</v>
      </c>
    </row>
    <row r="7187" spans="1:1" x14ac:dyDescent="0.2">
      <c r="A7187">
        <v>0</v>
      </c>
    </row>
    <row r="7188" spans="1:1" x14ac:dyDescent="0.2">
      <c r="A7188">
        <v>0</v>
      </c>
    </row>
    <row r="7189" spans="1:1" x14ac:dyDescent="0.2">
      <c r="A7189">
        <v>0</v>
      </c>
    </row>
    <row r="7190" spans="1:1" x14ac:dyDescent="0.2">
      <c r="A7190">
        <v>0</v>
      </c>
    </row>
    <row r="7191" spans="1:1" x14ac:dyDescent="0.2">
      <c r="A7191">
        <v>0</v>
      </c>
    </row>
    <row r="7192" spans="1:1" x14ac:dyDescent="0.2">
      <c r="A7192">
        <v>0</v>
      </c>
    </row>
    <row r="7193" spans="1:1" x14ac:dyDescent="0.2">
      <c r="A7193">
        <v>0</v>
      </c>
    </row>
    <row r="7194" spans="1:1" x14ac:dyDescent="0.2">
      <c r="A7194">
        <v>0</v>
      </c>
    </row>
    <row r="7195" spans="1:1" x14ac:dyDescent="0.2">
      <c r="A7195">
        <v>0</v>
      </c>
    </row>
    <row r="7196" spans="1:1" x14ac:dyDescent="0.2">
      <c r="A7196">
        <v>0</v>
      </c>
    </row>
    <row r="7197" spans="1:1" x14ac:dyDescent="0.2">
      <c r="A7197">
        <v>0</v>
      </c>
    </row>
    <row r="7198" spans="1:1" x14ac:dyDescent="0.2">
      <c r="A7198">
        <v>0</v>
      </c>
    </row>
    <row r="7199" spans="1:1" x14ac:dyDescent="0.2">
      <c r="A7199">
        <v>0</v>
      </c>
    </row>
    <row r="7200" spans="1:1" x14ac:dyDescent="0.2">
      <c r="A7200">
        <v>0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0</v>
      </c>
    </row>
    <row r="7219" spans="1:1" x14ac:dyDescent="0.2">
      <c r="A7219">
        <v>0</v>
      </c>
    </row>
    <row r="7220" spans="1:1" x14ac:dyDescent="0.2">
      <c r="A7220">
        <v>0</v>
      </c>
    </row>
    <row r="7221" spans="1:1" x14ac:dyDescent="0.2">
      <c r="A7221">
        <v>0</v>
      </c>
    </row>
    <row r="7222" spans="1:1" x14ac:dyDescent="0.2">
      <c r="A7222">
        <v>0</v>
      </c>
    </row>
    <row r="7223" spans="1:1" x14ac:dyDescent="0.2">
      <c r="A7223">
        <v>0</v>
      </c>
    </row>
    <row r="7224" spans="1:1" x14ac:dyDescent="0.2">
      <c r="A7224">
        <v>0</v>
      </c>
    </row>
    <row r="7225" spans="1:1" x14ac:dyDescent="0.2">
      <c r="A7225">
        <v>0</v>
      </c>
    </row>
    <row r="7226" spans="1:1" x14ac:dyDescent="0.2">
      <c r="A7226">
        <v>0</v>
      </c>
    </row>
    <row r="7227" spans="1:1" x14ac:dyDescent="0.2">
      <c r="A7227">
        <v>0</v>
      </c>
    </row>
    <row r="7228" spans="1:1" x14ac:dyDescent="0.2">
      <c r="A7228">
        <v>0</v>
      </c>
    </row>
    <row r="7229" spans="1:1" x14ac:dyDescent="0.2">
      <c r="A7229">
        <v>0</v>
      </c>
    </row>
    <row r="7230" spans="1:1" x14ac:dyDescent="0.2">
      <c r="A7230">
        <v>0</v>
      </c>
    </row>
    <row r="7231" spans="1:1" x14ac:dyDescent="0.2">
      <c r="A7231">
        <v>0</v>
      </c>
    </row>
    <row r="7232" spans="1:1" x14ac:dyDescent="0.2">
      <c r="A7232">
        <v>0</v>
      </c>
    </row>
    <row r="7233" spans="1:1" x14ac:dyDescent="0.2">
      <c r="A7233">
        <v>0</v>
      </c>
    </row>
    <row r="7234" spans="1:1" x14ac:dyDescent="0.2">
      <c r="A7234">
        <v>0</v>
      </c>
    </row>
    <row r="7235" spans="1:1" x14ac:dyDescent="0.2">
      <c r="A7235">
        <v>0</v>
      </c>
    </row>
    <row r="7236" spans="1:1" x14ac:dyDescent="0.2">
      <c r="A7236">
        <v>0</v>
      </c>
    </row>
    <row r="7237" spans="1:1" x14ac:dyDescent="0.2">
      <c r="A7237">
        <v>0</v>
      </c>
    </row>
    <row r="7238" spans="1:1" x14ac:dyDescent="0.2">
      <c r="A7238">
        <v>0</v>
      </c>
    </row>
    <row r="7239" spans="1:1" x14ac:dyDescent="0.2">
      <c r="A7239">
        <v>0</v>
      </c>
    </row>
    <row r="7240" spans="1:1" x14ac:dyDescent="0.2">
      <c r="A7240">
        <v>0</v>
      </c>
    </row>
    <row r="7241" spans="1:1" x14ac:dyDescent="0.2">
      <c r="A7241">
        <v>0</v>
      </c>
    </row>
    <row r="7242" spans="1:1" x14ac:dyDescent="0.2">
      <c r="A7242">
        <v>0</v>
      </c>
    </row>
    <row r="7243" spans="1:1" x14ac:dyDescent="0.2">
      <c r="A7243">
        <v>0</v>
      </c>
    </row>
    <row r="7244" spans="1:1" x14ac:dyDescent="0.2">
      <c r="A7244">
        <v>0</v>
      </c>
    </row>
    <row r="7245" spans="1:1" x14ac:dyDescent="0.2">
      <c r="A7245">
        <v>0</v>
      </c>
    </row>
    <row r="7246" spans="1:1" x14ac:dyDescent="0.2">
      <c r="A7246">
        <v>0</v>
      </c>
    </row>
    <row r="7247" spans="1:1" x14ac:dyDescent="0.2">
      <c r="A7247">
        <v>0</v>
      </c>
    </row>
    <row r="7248" spans="1:1" x14ac:dyDescent="0.2">
      <c r="A7248">
        <v>0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0</v>
      </c>
    </row>
    <row r="7267" spans="1:1" x14ac:dyDescent="0.2">
      <c r="A7267">
        <v>0</v>
      </c>
    </row>
    <row r="7268" spans="1:1" x14ac:dyDescent="0.2">
      <c r="A7268">
        <v>0</v>
      </c>
    </row>
    <row r="7269" spans="1:1" x14ac:dyDescent="0.2">
      <c r="A7269">
        <v>0</v>
      </c>
    </row>
    <row r="7270" spans="1:1" x14ac:dyDescent="0.2">
      <c r="A7270">
        <v>0</v>
      </c>
    </row>
    <row r="7271" spans="1:1" x14ac:dyDescent="0.2">
      <c r="A7271">
        <v>0</v>
      </c>
    </row>
    <row r="7272" spans="1:1" x14ac:dyDescent="0.2">
      <c r="A7272">
        <v>0</v>
      </c>
    </row>
    <row r="7273" spans="1:1" x14ac:dyDescent="0.2">
      <c r="A7273">
        <v>0</v>
      </c>
    </row>
    <row r="7274" spans="1:1" x14ac:dyDescent="0.2">
      <c r="A7274">
        <v>0</v>
      </c>
    </row>
    <row r="7275" spans="1:1" x14ac:dyDescent="0.2">
      <c r="A7275">
        <v>0</v>
      </c>
    </row>
    <row r="7276" spans="1:1" x14ac:dyDescent="0.2">
      <c r="A7276">
        <v>0</v>
      </c>
    </row>
    <row r="7277" spans="1:1" x14ac:dyDescent="0.2">
      <c r="A7277">
        <v>0</v>
      </c>
    </row>
    <row r="7278" spans="1:1" x14ac:dyDescent="0.2">
      <c r="A7278">
        <v>0</v>
      </c>
    </row>
    <row r="7279" spans="1:1" x14ac:dyDescent="0.2">
      <c r="A7279">
        <v>0</v>
      </c>
    </row>
    <row r="7280" spans="1:1" x14ac:dyDescent="0.2">
      <c r="A7280">
        <v>0</v>
      </c>
    </row>
    <row r="7281" spans="1:1" x14ac:dyDescent="0.2">
      <c r="A7281">
        <v>0</v>
      </c>
    </row>
    <row r="7282" spans="1:1" x14ac:dyDescent="0.2">
      <c r="A7282">
        <v>0</v>
      </c>
    </row>
    <row r="7283" spans="1:1" x14ac:dyDescent="0.2">
      <c r="A7283">
        <v>0</v>
      </c>
    </row>
    <row r="7284" spans="1:1" x14ac:dyDescent="0.2">
      <c r="A7284">
        <v>0</v>
      </c>
    </row>
    <row r="7285" spans="1:1" x14ac:dyDescent="0.2">
      <c r="A7285">
        <v>0</v>
      </c>
    </row>
    <row r="7286" spans="1:1" x14ac:dyDescent="0.2">
      <c r="A7286">
        <v>0</v>
      </c>
    </row>
    <row r="7287" spans="1:1" x14ac:dyDescent="0.2">
      <c r="A7287">
        <v>0</v>
      </c>
    </row>
    <row r="7288" spans="1:1" x14ac:dyDescent="0.2">
      <c r="A7288">
        <v>0</v>
      </c>
    </row>
    <row r="7289" spans="1:1" x14ac:dyDescent="0.2">
      <c r="A7289">
        <v>0</v>
      </c>
    </row>
    <row r="7290" spans="1:1" x14ac:dyDescent="0.2">
      <c r="A7290">
        <v>0</v>
      </c>
    </row>
    <row r="7291" spans="1:1" x14ac:dyDescent="0.2">
      <c r="A7291">
        <v>0</v>
      </c>
    </row>
    <row r="7292" spans="1:1" x14ac:dyDescent="0.2">
      <c r="A7292">
        <v>0</v>
      </c>
    </row>
    <row r="7293" spans="1:1" x14ac:dyDescent="0.2">
      <c r="A7293">
        <v>0</v>
      </c>
    </row>
    <row r="7294" spans="1:1" x14ac:dyDescent="0.2">
      <c r="A7294">
        <v>0</v>
      </c>
    </row>
    <row r="7295" spans="1:1" x14ac:dyDescent="0.2">
      <c r="A7295">
        <v>0</v>
      </c>
    </row>
    <row r="7296" spans="1:1" x14ac:dyDescent="0.2">
      <c r="A7296">
        <v>0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0</v>
      </c>
    </row>
    <row r="7315" spans="1:1" x14ac:dyDescent="0.2">
      <c r="A7315">
        <v>0</v>
      </c>
    </row>
    <row r="7316" spans="1:1" x14ac:dyDescent="0.2">
      <c r="A7316">
        <v>0</v>
      </c>
    </row>
    <row r="7317" spans="1:1" x14ac:dyDescent="0.2">
      <c r="A7317">
        <v>0</v>
      </c>
    </row>
    <row r="7318" spans="1:1" x14ac:dyDescent="0.2">
      <c r="A7318">
        <v>0</v>
      </c>
    </row>
    <row r="7319" spans="1:1" x14ac:dyDescent="0.2">
      <c r="A7319">
        <v>0</v>
      </c>
    </row>
    <row r="7320" spans="1:1" x14ac:dyDescent="0.2">
      <c r="A7320">
        <v>0</v>
      </c>
    </row>
    <row r="7321" spans="1:1" x14ac:dyDescent="0.2">
      <c r="A7321">
        <v>0</v>
      </c>
    </row>
    <row r="7322" spans="1:1" x14ac:dyDescent="0.2">
      <c r="A7322">
        <v>0</v>
      </c>
    </row>
    <row r="7323" spans="1:1" x14ac:dyDescent="0.2">
      <c r="A7323">
        <v>0</v>
      </c>
    </row>
    <row r="7324" spans="1:1" x14ac:dyDescent="0.2">
      <c r="A7324">
        <v>0</v>
      </c>
    </row>
    <row r="7325" spans="1:1" x14ac:dyDescent="0.2">
      <c r="A7325">
        <v>0</v>
      </c>
    </row>
    <row r="7326" spans="1:1" x14ac:dyDescent="0.2">
      <c r="A7326">
        <v>0</v>
      </c>
    </row>
    <row r="7327" spans="1:1" x14ac:dyDescent="0.2">
      <c r="A7327">
        <v>0</v>
      </c>
    </row>
    <row r="7328" spans="1:1" x14ac:dyDescent="0.2">
      <c r="A7328">
        <v>0</v>
      </c>
    </row>
    <row r="7329" spans="1:1" x14ac:dyDescent="0.2">
      <c r="A7329">
        <v>0</v>
      </c>
    </row>
    <row r="7330" spans="1:1" x14ac:dyDescent="0.2">
      <c r="A7330">
        <v>0</v>
      </c>
    </row>
    <row r="7331" spans="1:1" x14ac:dyDescent="0.2">
      <c r="A7331">
        <v>0</v>
      </c>
    </row>
    <row r="7332" spans="1:1" x14ac:dyDescent="0.2">
      <c r="A7332">
        <v>0</v>
      </c>
    </row>
    <row r="7333" spans="1:1" x14ac:dyDescent="0.2">
      <c r="A7333">
        <v>0</v>
      </c>
    </row>
    <row r="7334" spans="1:1" x14ac:dyDescent="0.2">
      <c r="A7334">
        <v>0</v>
      </c>
    </row>
    <row r="7335" spans="1:1" x14ac:dyDescent="0.2">
      <c r="A7335">
        <v>0</v>
      </c>
    </row>
    <row r="7336" spans="1:1" x14ac:dyDescent="0.2">
      <c r="A7336">
        <v>0</v>
      </c>
    </row>
    <row r="7337" spans="1:1" x14ac:dyDescent="0.2">
      <c r="A7337">
        <v>0</v>
      </c>
    </row>
    <row r="7338" spans="1:1" x14ac:dyDescent="0.2">
      <c r="A7338">
        <v>0</v>
      </c>
    </row>
    <row r="7339" spans="1:1" x14ac:dyDescent="0.2">
      <c r="A7339">
        <v>0</v>
      </c>
    </row>
    <row r="7340" spans="1:1" x14ac:dyDescent="0.2">
      <c r="A7340">
        <v>0</v>
      </c>
    </row>
    <row r="7341" spans="1:1" x14ac:dyDescent="0.2">
      <c r="A7341">
        <v>0</v>
      </c>
    </row>
    <row r="7342" spans="1:1" x14ac:dyDescent="0.2">
      <c r="A7342">
        <v>0</v>
      </c>
    </row>
    <row r="7343" spans="1:1" x14ac:dyDescent="0.2">
      <c r="A7343">
        <v>0</v>
      </c>
    </row>
    <row r="7344" spans="1:1" x14ac:dyDescent="0.2">
      <c r="A7344">
        <v>0</v>
      </c>
    </row>
    <row r="7345" spans="1:1" x14ac:dyDescent="0.2">
      <c r="A7345">
        <v>0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0</v>
      </c>
    </row>
    <row r="7363" spans="1:1" x14ac:dyDescent="0.2">
      <c r="A7363">
        <v>0</v>
      </c>
    </row>
    <row r="7364" spans="1:1" x14ac:dyDescent="0.2">
      <c r="A7364">
        <v>0</v>
      </c>
    </row>
    <row r="7365" spans="1:1" x14ac:dyDescent="0.2">
      <c r="A7365">
        <v>0</v>
      </c>
    </row>
    <row r="7366" spans="1:1" x14ac:dyDescent="0.2">
      <c r="A7366">
        <v>0</v>
      </c>
    </row>
    <row r="7367" spans="1:1" x14ac:dyDescent="0.2">
      <c r="A7367">
        <v>0</v>
      </c>
    </row>
    <row r="7368" spans="1:1" x14ac:dyDescent="0.2">
      <c r="A7368">
        <v>0</v>
      </c>
    </row>
    <row r="7369" spans="1:1" x14ac:dyDescent="0.2">
      <c r="A7369">
        <v>0</v>
      </c>
    </row>
    <row r="7370" spans="1:1" x14ac:dyDescent="0.2">
      <c r="A7370">
        <v>0</v>
      </c>
    </row>
    <row r="7371" spans="1:1" x14ac:dyDescent="0.2">
      <c r="A7371">
        <v>0</v>
      </c>
    </row>
    <row r="7372" spans="1:1" x14ac:dyDescent="0.2">
      <c r="A7372">
        <v>0</v>
      </c>
    </row>
    <row r="7373" spans="1:1" x14ac:dyDescent="0.2">
      <c r="A7373">
        <v>0</v>
      </c>
    </row>
    <row r="7374" spans="1:1" x14ac:dyDescent="0.2">
      <c r="A7374">
        <v>0</v>
      </c>
    </row>
    <row r="7375" spans="1:1" x14ac:dyDescent="0.2">
      <c r="A7375">
        <v>0</v>
      </c>
    </row>
    <row r="7376" spans="1:1" x14ac:dyDescent="0.2">
      <c r="A7376">
        <v>0</v>
      </c>
    </row>
    <row r="7377" spans="1:1" x14ac:dyDescent="0.2">
      <c r="A7377">
        <v>0</v>
      </c>
    </row>
    <row r="7378" spans="1:1" x14ac:dyDescent="0.2">
      <c r="A7378">
        <v>0</v>
      </c>
    </row>
    <row r="7379" spans="1:1" x14ac:dyDescent="0.2">
      <c r="A7379">
        <v>0</v>
      </c>
    </row>
    <row r="7380" spans="1:1" x14ac:dyDescent="0.2">
      <c r="A7380">
        <v>0</v>
      </c>
    </row>
    <row r="7381" spans="1:1" x14ac:dyDescent="0.2">
      <c r="A7381">
        <v>0</v>
      </c>
    </row>
    <row r="7382" spans="1:1" x14ac:dyDescent="0.2">
      <c r="A7382">
        <v>0</v>
      </c>
    </row>
    <row r="7383" spans="1:1" x14ac:dyDescent="0.2">
      <c r="A7383">
        <v>0</v>
      </c>
    </row>
    <row r="7384" spans="1:1" x14ac:dyDescent="0.2">
      <c r="A7384">
        <v>0</v>
      </c>
    </row>
    <row r="7385" spans="1:1" x14ac:dyDescent="0.2">
      <c r="A7385">
        <v>0</v>
      </c>
    </row>
    <row r="7386" spans="1:1" x14ac:dyDescent="0.2">
      <c r="A7386">
        <v>0</v>
      </c>
    </row>
    <row r="7387" spans="1:1" x14ac:dyDescent="0.2">
      <c r="A7387">
        <v>0</v>
      </c>
    </row>
    <row r="7388" spans="1:1" x14ac:dyDescent="0.2">
      <c r="A7388">
        <v>0</v>
      </c>
    </row>
    <row r="7389" spans="1:1" x14ac:dyDescent="0.2">
      <c r="A7389">
        <v>0</v>
      </c>
    </row>
    <row r="7390" spans="1:1" x14ac:dyDescent="0.2">
      <c r="A7390">
        <v>0</v>
      </c>
    </row>
    <row r="7391" spans="1:1" x14ac:dyDescent="0.2">
      <c r="A7391">
        <v>0</v>
      </c>
    </row>
    <row r="7392" spans="1:1" x14ac:dyDescent="0.2">
      <c r="A7392">
        <v>0</v>
      </c>
    </row>
    <row r="7393" spans="1:1" x14ac:dyDescent="0.2">
      <c r="A7393">
        <v>0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</v>
      </c>
    </row>
    <row r="7411" spans="1:1" x14ac:dyDescent="0.2">
      <c r="A7411">
        <v>0</v>
      </c>
    </row>
    <row r="7412" spans="1:1" x14ac:dyDescent="0.2">
      <c r="A7412">
        <v>0</v>
      </c>
    </row>
    <row r="7413" spans="1:1" x14ac:dyDescent="0.2">
      <c r="A7413">
        <v>0</v>
      </c>
    </row>
    <row r="7414" spans="1:1" x14ac:dyDescent="0.2">
      <c r="A7414">
        <v>0</v>
      </c>
    </row>
    <row r="7415" spans="1:1" x14ac:dyDescent="0.2">
      <c r="A7415">
        <v>0</v>
      </c>
    </row>
    <row r="7416" spans="1:1" x14ac:dyDescent="0.2">
      <c r="A7416">
        <v>0</v>
      </c>
    </row>
    <row r="7417" spans="1:1" x14ac:dyDescent="0.2">
      <c r="A7417">
        <v>0</v>
      </c>
    </row>
    <row r="7418" spans="1:1" x14ac:dyDescent="0.2">
      <c r="A7418">
        <v>0</v>
      </c>
    </row>
    <row r="7419" spans="1:1" x14ac:dyDescent="0.2">
      <c r="A7419">
        <v>0</v>
      </c>
    </row>
    <row r="7420" spans="1:1" x14ac:dyDescent="0.2">
      <c r="A7420">
        <v>0</v>
      </c>
    </row>
    <row r="7421" spans="1:1" x14ac:dyDescent="0.2">
      <c r="A7421">
        <v>0</v>
      </c>
    </row>
    <row r="7422" spans="1:1" x14ac:dyDescent="0.2">
      <c r="A7422">
        <v>0</v>
      </c>
    </row>
    <row r="7423" spans="1:1" x14ac:dyDescent="0.2">
      <c r="A7423">
        <v>0</v>
      </c>
    </row>
    <row r="7424" spans="1:1" x14ac:dyDescent="0.2">
      <c r="A7424">
        <v>0</v>
      </c>
    </row>
    <row r="7425" spans="1:1" x14ac:dyDescent="0.2">
      <c r="A7425">
        <v>0</v>
      </c>
    </row>
    <row r="7426" spans="1:1" x14ac:dyDescent="0.2">
      <c r="A7426">
        <v>0</v>
      </c>
    </row>
    <row r="7427" spans="1:1" x14ac:dyDescent="0.2">
      <c r="A7427">
        <v>0</v>
      </c>
    </row>
    <row r="7428" spans="1:1" x14ac:dyDescent="0.2">
      <c r="A7428">
        <v>0</v>
      </c>
    </row>
    <row r="7429" spans="1:1" x14ac:dyDescent="0.2">
      <c r="A7429">
        <v>0</v>
      </c>
    </row>
    <row r="7430" spans="1:1" x14ac:dyDescent="0.2">
      <c r="A7430">
        <v>0</v>
      </c>
    </row>
    <row r="7431" spans="1:1" x14ac:dyDescent="0.2">
      <c r="A7431">
        <v>0</v>
      </c>
    </row>
    <row r="7432" spans="1:1" x14ac:dyDescent="0.2">
      <c r="A7432">
        <v>0</v>
      </c>
    </row>
    <row r="7433" spans="1:1" x14ac:dyDescent="0.2">
      <c r="A7433">
        <v>0</v>
      </c>
    </row>
    <row r="7434" spans="1:1" x14ac:dyDescent="0.2">
      <c r="A7434">
        <v>0</v>
      </c>
    </row>
    <row r="7435" spans="1:1" x14ac:dyDescent="0.2">
      <c r="A7435">
        <v>0</v>
      </c>
    </row>
    <row r="7436" spans="1:1" x14ac:dyDescent="0.2">
      <c r="A7436">
        <v>0</v>
      </c>
    </row>
    <row r="7437" spans="1:1" x14ac:dyDescent="0.2">
      <c r="A7437">
        <v>0</v>
      </c>
    </row>
    <row r="7438" spans="1:1" x14ac:dyDescent="0.2">
      <c r="A7438">
        <v>0</v>
      </c>
    </row>
    <row r="7439" spans="1:1" x14ac:dyDescent="0.2">
      <c r="A7439">
        <v>0</v>
      </c>
    </row>
    <row r="7440" spans="1:1" x14ac:dyDescent="0.2">
      <c r="A7440">
        <v>0</v>
      </c>
    </row>
    <row r="7441" spans="1:1" x14ac:dyDescent="0.2">
      <c r="A7441">
        <v>0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0</v>
      </c>
    </row>
    <row r="7459" spans="1:1" x14ac:dyDescent="0.2">
      <c r="A7459">
        <v>0</v>
      </c>
    </row>
    <row r="7460" spans="1:1" x14ac:dyDescent="0.2">
      <c r="A7460">
        <v>0</v>
      </c>
    </row>
    <row r="7461" spans="1:1" x14ac:dyDescent="0.2">
      <c r="A7461">
        <v>0</v>
      </c>
    </row>
    <row r="7462" spans="1:1" x14ac:dyDescent="0.2">
      <c r="A7462">
        <v>0</v>
      </c>
    </row>
    <row r="7463" spans="1:1" x14ac:dyDescent="0.2">
      <c r="A7463">
        <v>0</v>
      </c>
    </row>
    <row r="7464" spans="1:1" x14ac:dyDescent="0.2">
      <c r="A7464">
        <v>0</v>
      </c>
    </row>
    <row r="7465" spans="1:1" x14ac:dyDescent="0.2">
      <c r="A7465">
        <v>0</v>
      </c>
    </row>
    <row r="7466" spans="1:1" x14ac:dyDescent="0.2">
      <c r="A7466">
        <v>0</v>
      </c>
    </row>
    <row r="7467" spans="1:1" x14ac:dyDescent="0.2">
      <c r="A7467">
        <v>0</v>
      </c>
    </row>
    <row r="7468" spans="1:1" x14ac:dyDescent="0.2">
      <c r="A7468">
        <v>0</v>
      </c>
    </row>
    <row r="7469" spans="1:1" x14ac:dyDescent="0.2">
      <c r="A7469">
        <v>0</v>
      </c>
    </row>
    <row r="7470" spans="1:1" x14ac:dyDescent="0.2">
      <c r="A7470">
        <v>0</v>
      </c>
    </row>
    <row r="7471" spans="1:1" x14ac:dyDescent="0.2">
      <c r="A7471">
        <v>0</v>
      </c>
    </row>
    <row r="7472" spans="1:1" x14ac:dyDescent="0.2">
      <c r="A7472">
        <v>0</v>
      </c>
    </row>
    <row r="7473" spans="1:1" x14ac:dyDescent="0.2">
      <c r="A7473">
        <v>0</v>
      </c>
    </row>
    <row r="7474" spans="1:1" x14ac:dyDescent="0.2">
      <c r="A7474">
        <v>0</v>
      </c>
    </row>
    <row r="7475" spans="1:1" x14ac:dyDescent="0.2">
      <c r="A7475">
        <v>0</v>
      </c>
    </row>
    <row r="7476" spans="1:1" x14ac:dyDescent="0.2">
      <c r="A7476">
        <v>0</v>
      </c>
    </row>
    <row r="7477" spans="1:1" x14ac:dyDescent="0.2">
      <c r="A7477">
        <v>0</v>
      </c>
    </row>
    <row r="7478" spans="1:1" x14ac:dyDescent="0.2">
      <c r="A7478">
        <v>0</v>
      </c>
    </row>
    <row r="7479" spans="1:1" x14ac:dyDescent="0.2">
      <c r="A7479">
        <v>0</v>
      </c>
    </row>
    <row r="7480" spans="1:1" x14ac:dyDescent="0.2">
      <c r="A7480">
        <v>0</v>
      </c>
    </row>
    <row r="7481" spans="1:1" x14ac:dyDescent="0.2">
      <c r="A7481">
        <v>0</v>
      </c>
    </row>
    <row r="7482" spans="1:1" x14ac:dyDescent="0.2">
      <c r="A7482">
        <v>0</v>
      </c>
    </row>
    <row r="7483" spans="1:1" x14ac:dyDescent="0.2">
      <c r="A7483">
        <v>0</v>
      </c>
    </row>
    <row r="7484" spans="1:1" x14ac:dyDescent="0.2">
      <c r="A7484">
        <v>0</v>
      </c>
    </row>
    <row r="7485" spans="1:1" x14ac:dyDescent="0.2">
      <c r="A7485">
        <v>0</v>
      </c>
    </row>
    <row r="7486" spans="1:1" x14ac:dyDescent="0.2">
      <c r="A7486">
        <v>0</v>
      </c>
    </row>
    <row r="7487" spans="1:1" x14ac:dyDescent="0.2">
      <c r="A7487">
        <v>0</v>
      </c>
    </row>
    <row r="7488" spans="1:1" x14ac:dyDescent="0.2">
      <c r="A7488">
        <v>0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</v>
      </c>
    </row>
    <row r="7507" spans="1:1" x14ac:dyDescent="0.2">
      <c r="A7507">
        <v>0</v>
      </c>
    </row>
    <row r="7508" spans="1:1" x14ac:dyDescent="0.2">
      <c r="A7508">
        <v>0</v>
      </c>
    </row>
    <row r="7509" spans="1:1" x14ac:dyDescent="0.2">
      <c r="A7509">
        <v>0</v>
      </c>
    </row>
    <row r="7510" spans="1:1" x14ac:dyDescent="0.2">
      <c r="A7510">
        <v>0</v>
      </c>
    </row>
    <row r="7511" spans="1:1" x14ac:dyDescent="0.2">
      <c r="A7511">
        <v>0</v>
      </c>
    </row>
    <row r="7512" spans="1:1" x14ac:dyDescent="0.2">
      <c r="A7512">
        <v>0</v>
      </c>
    </row>
    <row r="7513" spans="1:1" x14ac:dyDescent="0.2">
      <c r="A7513">
        <v>0</v>
      </c>
    </row>
    <row r="7514" spans="1:1" x14ac:dyDescent="0.2">
      <c r="A7514">
        <v>0</v>
      </c>
    </row>
    <row r="7515" spans="1:1" x14ac:dyDescent="0.2">
      <c r="A7515">
        <v>0</v>
      </c>
    </row>
    <row r="7516" spans="1:1" x14ac:dyDescent="0.2">
      <c r="A7516">
        <v>0</v>
      </c>
    </row>
    <row r="7517" spans="1:1" x14ac:dyDescent="0.2">
      <c r="A7517">
        <v>0</v>
      </c>
    </row>
    <row r="7518" spans="1:1" x14ac:dyDescent="0.2">
      <c r="A7518">
        <v>0</v>
      </c>
    </row>
    <row r="7519" spans="1:1" x14ac:dyDescent="0.2">
      <c r="A7519">
        <v>0</v>
      </c>
    </row>
    <row r="7520" spans="1:1" x14ac:dyDescent="0.2">
      <c r="A7520">
        <v>0</v>
      </c>
    </row>
    <row r="7521" spans="1:1" x14ac:dyDescent="0.2">
      <c r="A7521">
        <v>0</v>
      </c>
    </row>
    <row r="7522" spans="1:1" x14ac:dyDescent="0.2">
      <c r="A7522">
        <v>0</v>
      </c>
    </row>
    <row r="7523" spans="1:1" x14ac:dyDescent="0.2">
      <c r="A7523">
        <v>0</v>
      </c>
    </row>
    <row r="7524" spans="1:1" x14ac:dyDescent="0.2">
      <c r="A7524">
        <v>0</v>
      </c>
    </row>
    <row r="7525" spans="1:1" x14ac:dyDescent="0.2">
      <c r="A7525">
        <v>0</v>
      </c>
    </row>
    <row r="7526" spans="1:1" x14ac:dyDescent="0.2">
      <c r="A7526">
        <v>0</v>
      </c>
    </row>
    <row r="7527" spans="1:1" x14ac:dyDescent="0.2">
      <c r="A7527">
        <v>0</v>
      </c>
    </row>
    <row r="7528" spans="1:1" x14ac:dyDescent="0.2">
      <c r="A7528">
        <v>0</v>
      </c>
    </row>
    <row r="7529" spans="1:1" x14ac:dyDescent="0.2">
      <c r="A7529">
        <v>0</v>
      </c>
    </row>
    <row r="7530" spans="1:1" x14ac:dyDescent="0.2">
      <c r="A7530">
        <v>0</v>
      </c>
    </row>
    <row r="7531" spans="1:1" x14ac:dyDescent="0.2">
      <c r="A7531">
        <v>0</v>
      </c>
    </row>
    <row r="7532" spans="1:1" x14ac:dyDescent="0.2">
      <c r="A7532">
        <v>0</v>
      </c>
    </row>
    <row r="7533" spans="1:1" x14ac:dyDescent="0.2">
      <c r="A7533">
        <v>0</v>
      </c>
    </row>
    <row r="7534" spans="1:1" x14ac:dyDescent="0.2">
      <c r="A7534">
        <v>0</v>
      </c>
    </row>
    <row r="7535" spans="1:1" x14ac:dyDescent="0.2">
      <c r="A7535">
        <v>0</v>
      </c>
    </row>
    <row r="7536" spans="1:1" x14ac:dyDescent="0.2">
      <c r="A7536">
        <v>0</v>
      </c>
    </row>
    <row r="7537" spans="1:1" x14ac:dyDescent="0.2">
      <c r="A7537">
        <v>0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0</v>
      </c>
    </row>
    <row r="7555" spans="1:1" x14ac:dyDescent="0.2">
      <c r="A7555">
        <v>0</v>
      </c>
    </row>
    <row r="7556" spans="1:1" x14ac:dyDescent="0.2">
      <c r="A7556">
        <v>0</v>
      </c>
    </row>
    <row r="7557" spans="1:1" x14ac:dyDescent="0.2">
      <c r="A7557">
        <v>0</v>
      </c>
    </row>
    <row r="7558" spans="1:1" x14ac:dyDescent="0.2">
      <c r="A7558">
        <v>0</v>
      </c>
    </row>
    <row r="7559" spans="1:1" x14ac:dyDescent="0.2">
      <c r="A7559">
        <v>0</v>
      </c>
    </row>
    <row r="7560" spans="1:1" x14ac:dyDescent="0.2">
      <c r="A7560">
        <v>0</v>
      </c>
    </row>
    <row r="7561" spans="1:1" x14ac:dyDescent="0.2">
      <c r="A7561">
        <v>0</v>
      </c>
    </row>
    <row r="7562" spans="1:1" x14ac:dyDescent="0.2">
      <c r="A7562">
        <v>0</v>
      </c>
    </row>
    <row r="7563" spans="1:1" x14ac:dyDescent="0.2">
      <c r="A7563">
        <v>0</v>
      </c>
    </row>
    <row r="7564" spans="1:1" x14ac:dyDescent="0.2">
      <c r="A7564">
        <v>0</v>
      </c>
    </row>
    <row r="7565" spans="1:1" x14ac:dyDescent="0.2">
      <c r="A7565">
        <v>0</v>
      </c>
    </row>
    <row r="7566" spans="1:1" x14ac:dyDescent="0.2">
      <c r="A7566">
        <v>0</v>
      </c>
    </row>
    <row r="7567" spans="1:1" x14ac:dyDescent="0.2">
      <c r="A7567">
        <v>0</v>
      </c>
    </row>
    <row r="7568" spans="1:1" x14ac:dyDescent="0.2">
      <c r="A7568">
        <v>0</v>
      </c>
    </row>
    <row r="7569" spans="1:1" x14ac:dyDescent="0.2">
      <c r="A7569">
        <v>0</v>
      </c>
    </row>
    <row r="7570" spans="1:1" x14ac:dyDescent="0.2">
      <c r="A7570">
        <v>0</v>
      </c>
    </row>
    <row r="7571" spans="1:1" x14ac:dyDescent="0.2">
      <c r="A7571">
        <v>0</v>
      </c>
    </row>
    <row r="7572" spans="1:1" x14ac:dyDescent="0.2">
      <c r="A7572">
        <v>0</v>
      </c>
    </row>
    <row r="7573" spans="1:1" x14ac:dyDescent="0.2">
      <c r="A7573">
        <v>0</v>
      </c>
    </row>
    <row r="7574" spans="1:1" x14ac:dyDescent="0.2">
      <c r="A7574">
        <v>0</v>
      </c>
    </row>
    <row r="7575" spans="1:1" x14ac:dyDescent="0.2">
      <c r="A7575">
        <v>0</v>
      </c>
    </row>
    <row r="7576" spans="1:1" x14ac:dyDescent="0.2">
      <c r="A7576">
        <v>0</v>
      </c>
    </row>
    <row r="7577" spans="1:1" x14ac:dyDescent="0.2">
      <c r="A7577">
        <v>0</v>
      </c>
    </row>
    <row r="7578" spans="1:1" x14ac:dyDescent="0.2">
      <c r="A7578">
        <v>0</v>
      </c>
    </row>
    <row r="7579" spans="1:1" x14ac:dyDescent="0.2">
      <c r="A7579">
        <v>0</v>
      </c>
    </row>
    <row r="7580" spans="1:1" x14ac:dyDescent="0.2">
      <c r="A7580">
        <v>0</v>
      </c>
    </row>
    <row r="7581" spans="1:1" x14ac:dyDescent="0.2">
      <c r="A7581">
        <v>0</v>
      </c>
    </row>
    <row r="7582" spans="1:1" x14ac:dyDescent="0.2">
      <c r="A7582">
        <v>0</v>
      </c>
    </row>
    <row r="7583" spans="1:1" x14ac:dyDescent="0.2">
      <c r="A7583">
        <v>0</v>
      </c>
    </row>
    <row r="7584" spans="1:1" x14ac:dyDescent="0.2">
      <c r="A7584">
        <v>0</v>
      </c>
    </row>
    <row r="7585" spans="1:1" x14ac:dyDescent="0.2">
      <c r="A7585">
        <v>0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0</v>
      </c>
    </row>
    <row r="7603" spans="1:1" x14ac:dyDescent="0.2">
      <c r="A7603">
        <v>0</v>
      </c>
    </row>
    <row r="7604" spans="1:1" x14ac:dyDescent="0.2">
      <c r="A7604">
        <v>0</v>
      </c>
    </row>
    <row r="7605" spans="1:1" x14ac:dyDescent="0.2">
      <c r="A7605">
        <v>0</v>
      </c>
    </row>
    <row r="7606" spans="1:1" x14ac:dyDescent="0.2">
      <c r="A7606">
        <v>0</v>
      </c>
    </row>
    <row r="7607" spans="1:1" x14ac:dyDescent="0.2">
      <c r="A7607">
        <v>0</v>
      </c>
    </row>
    <row r="7608" spans="1:1" x14ac:dyDescent="0.2">
      <c r="A7608">
        <v>0</v>
      </c>
    </row>
    <row r="7609" spans="1:1" x14ac:dyDescent="0.2">
      <c r="A7609">
        <v>0</v>
      </c>
    </row>
    <row r="7610" spans="1:1" x14ac:dyDescent="0.2">
      <c r="A7610">
        <v>0</v>
      </c>
    </row>
    <row r="7611" spans="1:1" x14ac:dyDescent="0.2">
      <c r="A7611">
        <v>0</v>
      </c>
    </row>
    <row r="7612" spans="1:1" x14ac:dyDescent="0.2">
      <c r="A7612">
        <v>0</v>
      </c>
    </row>
    <row r="7613" spans="1:1" x14ac:dyDescent="0.2">
      <c r="A7613">
        <v>0</v>
      </c>
    </row>
    <row r="7614" spans="1:1" x14ac:dyDescent="0.2">
      <c r="A7614">
        <v>0</v>
      </c>
    </row>
    <row r="7615" spans="1:1" x14ac:dyDescent="0.2">
      <c r="A7615">
        <v>0</v>
      </c>
    </row>
    <row r="7616" spans="1:1" x14ac:dyDescent="0.2">
      <c r="A7616">
        <v>0</v>
      </c>
    </row>
    <row r="7617" spans="1:1" x14ac:dyDescent="0.2">
      <c r="A7617">
        <v>0</v>
      </c>
    </row>
    <row r="7618" spans="1:1" x14ac:dyDescent="0.2">
      <c r="A7618">
        <v>0</v>
      </c>
    </row>
    <row r="7619" spans="1:1" x14ac:dyDescent="0.2">
      <c r="A7619">
        <v>0</v>
      </c>
    </row>
    <row r="7620" spans="1:1" x14ac:dyDescent="0.2">
      <c r="A7620">
        <v>0</v>
      </c>
    </row>
    <row r="7621" spans="1:1" x14ac:dyDescent="0.2">
      <c r="A7621">
        <v>0</v>
      </c>
    </row>
    <row r="7622" spans="1:1" x14ac:dyDescent="0.2">
      <c r="A7622">
        <v>0</v>
      </c>
    </row>
    <row r="7623" spans="1:1" x14ac:dyDescent="0.2">
      <c r="A7623">
        <v>0</v>
      </c>
    </row>
    <row r="7624" spans="1:1" x14ac:dyDescent="0.2">
      <c r="A7624">
        <v>0</v>
      </c>
    </row>
    <row r="7625" spans="1:1" x14ac:dyDescent="0.2">
      <c r="A7625">
        <v>0</v>
      </c>
    </row>
    <row r="7626" spans="1:1" x14ac:dyDescent="0.2">
      <c r="A7626">
        <v>0</v>
      </c>
    </row>
    <row r="7627" spans="1:1" x14ac:dyDescent="0.2">
      <c r="A7627">
        <v>0</v>
      </c>
    </row>
    <row r="7628" spans="1:1" x14ac:dyDescent="0.2">
      <c r="A7628">
        <v>0</v>
      </c>
    </row>
    <row r="7629" spans="1:1" x14ac:dyDescent="0.2">
      <c r="A7629">
        <v>0</v>
      </c>
    </row>
    <row r="7630" spans="1:1" x14ac:dyDescent="0.2">
      <c r="A7630">
        <v>0</v>
      </c>
    </row>
    <row r="7631" spans="1:1" x14ac:dyDescent="0.2">
      <c r="A7631">
        <v>0</v>
      </c>
    </row>
    <row r="7632" spans="1:1" x14ac:dyDescent="0.2">
      <c r="A7632">
        <v>0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0</v>
      </c>
    </row>
    <row r="7651" spans="1:1" x14ac:dyDescent="0.2">
      <c r="A7651">
        <v>0</v>
      </c>
    </row>
    <row r="7652" spans="1:1" x14ac:dyDescent="0.2">
      <c r="A7652">
        <v>0</v>
      </c>
    </row>
    <row r="7653" spans="1:1" x14ac:dyDescent="0.2">
      <c r="A7653">
        <v>0</v>
      </c>
    </row>
    <row r="7654" spans="1:1" x14ac:dyDescent="0.2">
      <c r="A7654">
        <v>0</v>
      </c>
    </row>
    <row r="7655" spans="1:1" x14ac:dyDescent="0.2">
      <c r="A7655">
        <v>0</v>
      </c>
    </row>
    <row r="7656" spans="1:1" x14ac:dyDescent="0.2">
      <c r="A7656">
        <v>0</v>
      </c>
    </row>
    <row r="7657" spans="1:1" x14ac:dyDescent="0.2">
      <c r="A7657">
        <v>0</v>
      </c>
    </row>
    <row r="7658" spans="1:1" x14ac:dyDescent="0.2">
      <c r="A7658">
        <v>0</v>
      </c>
    </row>
    <row r="7659" spans="1:1" x14ac:dyDescent="0.2">
      <c r="A7659">
        <v>0</v>
      </c>
    </row>
    <row r="7660" spans="1:1" x14ac:dyDescent="0.2">
      <c r="A7660">
        <v>0</v>
      </c>
    </row>
    <row r="7661" spans="1:1" x14ac:dyDescent="0.2">
      <c r="A7661">
        <v>0</v>
      </c>
    </row>
    <row r="7662" spans="1:1" x14ac:dyDescent="0.2">
      <c r="A7662">
        <v>0</v>
      </c>
    </row>
    <row r="7663" spans="1:1" x14ac:dyDescent="0.2">
      <c r="A7663">
        <v>0</v>
      </c>
    </row>
    <row r="7664" spans="1:1" x14ac:dyDescent="0.2">
      <c r="A7664">
        <v>0</v>
      </c>
    </row>
    <row r="7665" spans="1:1" x14ac:dyDescent="0.2">
      <c r="A7665">
        <v>0</v>
      </c>
    </row>
    <row r="7666" spans="1:1" x14ac:dyDescent="0.2">
      <c r="A7666">
        <v>0</v>
      </c>
    </row>
    <row r="7667" spans="1:1" x14ac:dyDescent="0.2">
      <c r="A7667">
        <v>0</v>
      </c>
    </row>
    <row r="7668" spans="1:1" x14ac:dyDescent="0.2">
      <c r="A7668">
        <v>0</v>
      </c>
    </row>
    <row r="7669" spans="1:1" x14ac:dyDescent="0.2">
      <c r="A7669">
        <v>0</v>
      </c>
    </row>
    <row r="7670" spans="1:1" x14ac:dyDescent="0.2">
      <c r="A7670">
        <v>0</v>
      </c>
    </row>
    <row r="7671" spans="1:1" x14ac:dyDescent="0.2">
      <c r="A7671">
        <v>0</v>
      </c>
    </row>
    <row r="7672" spans="1:1" x14ac:dyDescent="0.2">
      <c r="A7672">
        <v>0</v>
      </c>
    </row>
    <row r="7673" spans="1:1" x14ac:dyDescent="0.2">
      <c r="A7673">
        <v>0</v>
      </c>
    </row>
    <row r="7674" spans="1:1" x14ac:dyDescent="0.2">
      <c r="A7674">
        <v>0</v>
      </c>
    </row>
    <row r="7675" spans="1:1" x14ac:dyDescent="0.2">
      <c r="A7675">
        <v>0</v>
      </c>
    </row>
    <row r="7676" spans="1:1" x14ac:dyDescent="0.2">
      <c r="A7676">
        <v>0</v>
      </c>
    </row>
    <row r="7677" spans="1:1" x14ac:dyDescent="0.2">
      <c r="A7677">
        <v>0</v>
      </c>
    </row>
    <row r="7678" spans="1:1" x14ac:dyDescent="0.2">
      <c r="A7678">
        <v>0</v>
      </c>
    </row>
    <row r="7679" spans="1:1" x14ac:dyDescent="0.2">
      <c r="A7679">
        <v>0</v>
      </c>
    </row>
    <row r="7680" spans="1:1" x14ac:dyDescent="0.2">
      <c r="A7680">
        <v>0</v>
      </c>
    </row>
    <row r="7681" spans="1:1" x14ac:dyDescent="0.2">
      <c r="A7681">
        <v>0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0</v>
      </c>
    </row>
    <row r="7699" spans="1:1" x14ac:dyDescent="0.2">
      <c r="A7699">
        <v>0</v>
      </c>
    </row>
    <row r="7700" spans="1:1" x14ac:dyDescent="0.2">
      <c r="A7700">
        <v>0</v>
      </c>
    </row>
    <row r="7701" spans="1:1" x14ac:dyDescent="0.2">
      <c r="A7701">
        <v>0</v>
      </c>
    </row>
    <row r="7702" spans="1:1" x14ac:dyDescent="0.2">
      <c r="A7702">
        <v>0</v>
      </c>
    </row>
    <row r="7703" spans="1:1" x14ac:dyDescent="0.2">
      <c r="A7703">
        <v>0</v>
      </c>
    </row>
    <row r="7704" spans="1:1" x14ac:dyDescent="0.2">
      <c r="A7704">
        <v>0</v>
      </c>
    </row>
    <row r="7705" spans="1:1" x14ac:dyDescent="0.2">
      <c r="A7705">
        <v>0</v>
      </c>
    </row>
    <row r="7706" spans="1:1" x14ac:dyDescent="0.2">
      <c r="A7706">
        <v>0</v>
      </c>
    </row>
    <row r="7707" spans="1:1" x14ac:dyDescent="0.2">
      <c r="A7707">
        <v>0</v>
      </c>
    </row>
    <row r="7708" spans="1:1" x14ac:dyDescent="0.2">
      <c r="A7708">
        <v>0</v>
      </c>
    </row>
    <row r="7709" spans="1:1" x14ac:dyDescent="0.2">
      <c r="A7709">
        <v>0</v>
      </c>
    </row>
    <row r="7710" spans="1:1" x14ac:dyDescent="0.2">
      <c r="A7710">
        <v>0</v>
      </c>
    </row>
    <row r="7711" spans="1:1" x14ac:dyDescent="0.2">
      <c r="A7711">
        <v>0</v>
      </c>
    </row>
    <row r="7712" spans="1:1" x14ac:dyDescent="0.2">
      <c r="A7712">
        <v>0</v>
      </c>
    </row>
    <row r="7713" spans="1:1" x14ac:dyDescent="0.2">
      <c r="A7713">
        <v>0</v>
      </c>
    </row>
    <row r="7714" spans="1:1" x14ac:dyDescent="0.2">
      <c r="A7714">
        <v>0</v>
      </c>
    </row>
    <row r="7715" spans="1:1" x14ac:dyDescent="0.2">
      <c r="A7715">
        <v>0</v>
      </c>
    </row>
    <row r="7716" spans="1:1" x14ac:dyDescent="0.2">
      <c r="A7716">
        <v>0</v>
      </c>
    </row>
    <row r="7717" spans="1:1" x14ac:dyDescent="0.2">
      <c r="A7717">
        <v>0</v>
      </c>
    </row>
    <row r="7718" spans="1:1" x14ac:dyDescent="0.2">
      <c r="A7718">
        <v>0</v>
      </c>
    </row>
    <row r="7719" spans="1:1" x14ac:dyDescent="0.2">
      <c r="A7719">
        <v>0</v>
      </c>
    </row>
    <row r="7720" spans="1:1" x14ac:dyDescent="0.2">
      <c r="A7720">
        <v>0</v>
      </c>
    </row>
    <row r="7721" spans="1:1" x14ac:dyDescent="0.2">
      <c r="A7721">
        <v>0</v>
      </c>
    </row>
    <row r="7722" spans="1:1" x14ac:dyDescent="0.2">
      <c r="A7722">
        <v>0</v>
      </c>
    </row>
    <row r="7723" spans="1:1" x14ac:dyDescent="0.2">
      <c r="A7723">
        <v>0</v>
      </c>
    </row>
    <row r="7724" spans="1:1" x14ac:dyDescent="0.2">
      <c r="A7724">
        <v>0</v>
      </c>
    </row>
    <row r="7725" spans="1:1" x14ac:dyDescent="0.2">
      <c r="A7725">
        <v>0</v>
      </c>
    </row>
    <row r="7726" spans="1:1" x14ac:dyDescent="0.2">
      <c r="A7726">
        <v>0</v>
      </c>
    </row>
    <row r="7727" spans="1:1" x14ac:dyDescent="0.2">
      <c r="A7727">
        <v>0</v>
      </c>
    </row>
    <row r="7728" spans="1:1" x14ac:dyDescent="0.2">
      <c r="A7728">
        <v>0</v>
      </c>
    </row>
    <row r="7729" spans="1:1" x14ac:dyDescent="0.2">
      <c r="A7729">
        <v>0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0</v>
      </c>
    </row>
    <row r="7747" spans="1:1" x14ac:dyDescent="0.2">
      <c r="A7747">
        <v>0</v>
      </c>
    </row>
    <row r="7748" spans="1:1" x14ac:dyDescent="0.2">
      <c r="A7748">
        <v>0</v>
      </c>
    </row>
    <row r="7749" spans="1:1" x14ac:dyDescent="0.2">
      <c r="A7749">
        <v>0</v>
      </c>
    </row>
    <row r="7750" spans="1:1" x14ac:dyDescent="0.2">
      <c r="A7750">
        <v>0</v>
      </c>
    </row>
    <row r="7751" spans="1:1" x14ac:dyDescent="0.2">
      <c r="A7751">
        <v>0</v>
      </c>
    </row>
    <row r="7752" spans="1:1" x14ac:dyDescent="0.2">
      <c r="A7752">
        <v>0</v>
      </c>
    </row>
    <row r="7753" spans="1:1" x14ac:dyDescent="0.2">
      <c r="A7753">
        <v>0</v>
      </c>
    </row>
    <row r="7754" spans="1:1" x14ac:dyDescent="0.2">
      <c r="A7754">
        <v>0</v>
      </c>
    </row>
    <row r="7755" spans="1:1" x14ac:dyDescent="0.2">
      <c r="A7755">
        <v>0</v>
      </c>
    </row>
    <row r="7756" spans="1:1" x14ac:dyDescent="0.2">
      <c r="A7756">
        <v>0</v>
      </c>
    </row>
    <row r="7757" spans="1:1" x14ac:dyDescent="0.2">
      <c r="A7757">
        <v>0</v>
      </c>
    </row>
    <row r="7758" spans="1:1" x14ac:dyDescent="0.2">
      <c r="A7758">
        <v>0</v>
      </c>
    </row>
    <row r="7759" spans="1:1" x14ac:dyDescent="0.2">
      <c r="A7759">
        <v>0</v>
      </c>
    </row>
    <row r="7760" spans="1:1" x14ac:dyDescent="0.2">
      <c r="A7760">
        <v>0</v>
      </c>
    </row>
    <row r="7761" spans="1:1" x14ac:dyDescent="0.2">
      <c r="A7761">
        <v>0</v>
      </c>
    </row>
    <row r="7762" spans="1:1" x14ac:dyDescent="0.2">
      <c r="A7762">
        <v>0</v>
      </c>
    </row>
    <row r="7763" spans="1:1" x14ac:dyDescent="0.2">
      <c r="A7763">
        <v>0</v>
      </c>
    </row>
    <row r="7764" spans="1:1" x14ac:dyDescent="0.2">
      <c r="A7764">
        <v>0</v>
      </c>
    </row>
    <row r="7765" spans="1:1" x14ac:dyDescent="0.2">
      <c r="A7765">
        <v>0</v>
      </c>
    </row>
    <row r="7766" spans="1:1" x14ac:dyDescent="0.2">
      <c r="A7766">
        <v>0</v>
      </c>
    </row>
    <row r="7767" spans="1:1" x14ac:dyDescent="0.2">
      <c r="A7767">
        <v>0</v>
      </c>
    </row>
    <row r="7768" spans="1:1" x14ac:dyDescent="0.2">
      <c r="A7768">
        <v>0</v>
      </c>
    </row>
    <row r="7769" spans="1:1" x14ac:dyDescent="0.2">
      <c r="A7769">
        <v>0</v>
      </c>
    </row>
    <row r="7770" spans="1:1" x14ac:dyDescent="0.2">
      <c r="A7770">
        <v>0</v>
      </c>
    </row>
    <row r="7771" spans="1:1" x14ac:dyDescent="0.2">
      <c r="A7771">
        <v>0</v>
      </c>
    </row>
    <row r="7772" spans="1:1" x14ac:dyDescent="0.2">
      <c r="A7772">
        <v>0</v>
      </c>
    </row>
    <row r="7773" spans="1:1" x14ac:dyDescent="0.2">
      <c r="A7773">
        <v>0</v>
      </c>
    </row>
    <row r="7774" spans="1:1" x14ac:dyDescent="0.2">
      <c r="A7774">
        <v>0</v>
      </c>
    </row>
    <row r="7775" spans="1:1" x14ac:dyDescent="0.2">
      <c r="A7775">
        <v>0</v>
      </c>
    </row>
    <row r="7776" spans="1:1" x14ac:dyDescent="0.2">
      <c r="A7776">
        <v>0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0</v>
      </c>
    </row>
    <row r="7795" spans="1:1" x14ac:dyDescent="0.2">
      <c r="A7795">
        <v>0</v>
      </c>
    </row>
    <row r="7796" spans="1:1" x14ac:dyDescent="0.2">
      <c r="A7796">
        <v>0</v>
      </c>
    </row>
    <row r="7797" spans="1:1" x14ac:dyDescent="0.2">
      <c r="A7797">
        <v>0</v>
      </c>
    </row>
    <row r="7798" spans="1:1" x14ac:dyDescent="0.2">
      <c r="A7798">
        <v>0</v>
      </c>
    </row>
    <row r="7799" spans="1:1" x14ac:dyDescent="0.2">
      <c r="A7799">
        <v>0</v>
      </c>
    </row>
    <row r="7800" spans="1:1" x14ac:dyDescent="0.2">
      <c r="A7800">
        <v>0</v>
      </c>
    </row>
    <row r="7801" spans="1:1" x14ac:dyDescent="0.2">
      <c r="A7801">
        <v>0</v>
      </c>
    </row>
    <row r="7802" spans="1:1" x14ac:dyDescent="0.2">
      <c r="A7802">
        <v>0</v>
      </c>
    </row>
    <row r="7803" spans="1:1" x14ac:dyDescent="0.2">
      <c r="A7803">
        <v>0</v>
      </c>
    </row>
    <row r="7804" spans="1:1" x14ac:dyDescent="0.2">
      <c r="A7804">
        <v>0</v>
      </c>
    </row>
    <row r="7805" spans="1:1" x14ac:dyDescent="0.2">
      <c r="A7805">
        <v>0</v>
      </c>
    </row>
    <row r="7806" spans="1:1" x14ac:dyDescent="0.2">
      <c r="A7806">
        <v>0</v>
      </c>
    </row>
    <row r="7807" spans="1:1" x14ac:dyDescent="0.2">
      <c r="A7807">
        <v>0</v>
      </c>
    </row>
    <row r="7808" spans="1:1" x14ac:dyDescent="0.2">
      <c r="A7808">
        <v>0</v>
      </c>
    </row>
    <row r="7809" spans="1:1" x14ac:dyDescent="0.2">
      <c r="A7809">
        <v>0</v>
      </c>
    </row>
    <row r="7810" spans="1:1" x14ac:dyDescent="0.2">
      <c r="A7810">
        <v>0</v>
      </c>
    </row>
    <row r="7811" spans="1:1" x14ac:dyDescent="0.2">
      <c r="A7811">
        <v>0</v>
      </c>
    </row>
    <row r="7812" spans="1:1" x14ac:dyDescent="0.2">
      <c r="A7812">
        <v>0</v>
      </c>
    </row>
    <row r="7813" spans="1:1" x14ac:dyDescent="0.2">
      <c r="A7813">
        <v>0</v>
      </c>
    </row>
    <row r="7814" spans="1:1" x14ac:dyDescent="0.2">
      <c r="A7814">
        <v>0</v>
      </c>
    </row>
    <row r="7815" spans="1:1" x14ac:dyDescent="0.2">
      <c r="A7815">
        <v>0</v>
      </c>
    </row>
    <row r="7816" spans="1:1" x14ac:dyDescent="0.2">
      <c r="A7816">
        <v>0</v>
      </c>
    </row>
    <row r="7817" spans="1:1" x14ac:dyDescent="0.2">
      <c r="A7817">
        <v>0</v>
      </c>
    </row>
    <row r="7818" spans="1:1" x14ac:dyDescent="0.2">
      <c r="A7818">
        <v>0</v>
      </c>
    </row>
    <row r="7819" spans="1:1" x14ac:dyDescent="0.2">
      <c r="A7819">
        <v>0</v>
      </c>
    </row>
    <row r="7820" spans="1:1" x14ac:dyDescent="0.2">
      <c r="A7820">
        <v>0</v>
      </c>
    </row>
    <row r="7821" spans="1:1" x14ac:dyDescent="0.2">
      <c r="A7821">
        <v>0</v>
      </c>
    </row>
    <row r="7822" spans="1:1" x14ac:dyDescent="0.2">
      <c r="A7822">
        <v>0</v>
      </c>
    </row>
    <row r="7823" spans="1:1" x14ac:dyDescent="0.2">
      <c r="A7823">
        <v>0</v>
      </c>
    </row>
    <row r="7824" spans="1:1" x14ac:dyDescent="0.2">
      <c r="A7824">
        <v>0</v>
      </c>
    </row>
    <row r="7825" spans="1:1" x14ac:dyDescent="0.2">
      <c r="A7825">
        <v>0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0</v>
      </c>
    </row>
    <row r="7843" spans="1:1" x14ac:dyDescent="0.2">
      <c r="A7843">
        <v>0</v>
      </c>
    </row>
    <row r="7844" spans="1:1" x14ac:dyDescent="0.2">
      <c r="A7844">
        <v>0</v>
      </c>
    </row>
    <row r="7845" spans="1:1" x14ac:dyDescent="0.2">
      <c r="A7845">
        <v>0</v>
      </c>
    </row>
    <row r="7846" spans="1:1" x14ac:dyDescent="0.2">
      <c r="A7846">
        <v>0</v>
      </c>
    </row>
    <row r="7847" spans="1:1" x14ac:dyDescent="0.2">
      <c r="A7847">
        <v>0</v>
      </c>
    </row>
    <row r="7848" spans="1:1" x14ac:dyDescent="0.2">
      <c r="A7848">
        <v>0</v>
      </c>
    </row>
    <row r="7849" spans="1:1" x14ac:dyDescent="0.2">
      <c r="A7849">
        <v>0</v>
      </c>
    </row>
    <row r="7850" spans="1:1" x14ac:dyDescent="0.2">
      <c r="A7850">
        <v>0</v>
      </c>
    </row>
    <row r="7851" spans="1:1" x14ac:dyDescent="0.2">
      <c r="A7851">
        <v>0</v>
      </c>
    </row>
    <row r="7852" spans="1:1" x14ac:dyDescent="0.2">
      <c r="A7852">
        <v>0</v>
      </c>
    </row>
    <row r="7853" spans="1:1" x14ac:dyDescent="0.2">
      <c r="A7853">
        <v>0</v>
      </c>
    </row>
    <row r="7854" spans="1:1" x14ac:dyDescent="0.2">
      <c r="A7854">
        <v>0</v>
      </c>
    </row>
    <row r="7855" spans="1:1" x14ac:dyDescent="0.2">
      <c r="A7855">
        <v>0</v>
      </c>
    </row>
    <row r="7856" spans="1:1" x14ac:dyDescent="0.2">
      <c r="A7856">
        <v>0</v>
      </c>
    </row>
    <row r="7857" spans="1:1" x14ac:dyDescent="0.2">
      <c r="A7857">
        <v>0</v>
      </c>
    </row>
    <row r="7858" spans="1:1" x14ac:dyDescent="0.2">
      <c r="A7858">
        <v>0</v>
      </c>
    </row>
    <row r="7859" spans="1:1" x14ac:dyDescent="0.2">
      <c r="A7859">
        <v>0</v>
      </c>
    </row>
    <row r="7860" spans="1:1" x14ac:dyDescent="0.2">
      <c r="A7860">
        <v>0</v>
      </c>
    </row>
    <row r="7861" spans="1:1" x14ac:dyDescent="0.2">
      <c r="A7861">
        <v>0</v>
      </c>
    </row>
    <row r="7862" spans="1:1" x14ac:dyDescent="0.2">
      <c r="A7862">
        <v>0</v>
      </c>
    </row>
    <row r="7863" spans="1:1" x14ac:dyDescent="0.2">
      <c r="A7863">
        <v>0</v>
      </c>
    </row>
    <row r="7864" spans="1:1" x14ac:dyDescent="0.2">
      <c r="A7864">
        <v>0</v>
      </c>
    </row>
    <row r="7865" spans="1:1" x14ac:dyDescent="0.2">
      <c r="A7865">
        <v>0</v>
      </c>
    </row>
    <row r="7866" spans="1:1" x14ac:dyDescent="0.2">
      <c r="A7866">
        <v>0</v>
      </c>
    </row>
    <row r="7867" spans="1:1" x14ac:dyDescent="0.2">
      <c r="A7867">
        <v>0</v>
      </c>
    </row>
    <row r="7868" spans="1:1" x14ac:dyDescent="0.2">
      <c r="A7868">
        <v>0</v>
      </c>
    </row>
    <row r="7869" spans="1:1" x14ac:dyDescent="0.2">
      <c r="A7869">
        <v>0</v>
      </c>
    </row>
    <row r="7870" spans="1:1" x14ac:dyDescent="0.2">
      <c r="A7870">
        <v>0</v>
      </c>
    </row>
    <row r="7871" spans="1:1" x14ac:dyDescent="0.2">
      <c r="A7871">
        <v>0</v>
      </c>
    </row>
    <row r="7872" spans="1:1" x14ac:dyDescent="0.2">
      <c r="A7872">
        <v>0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0</v>
      </c>
    </row>
    <row r="7891" spans="1:1" x14ac:dyDescent="0.2">
      <c r="A7891">
        <v>0</v>
      </c>
    </row>
    <row r="7892" spans="1:1" x14ac:dyDescent="0.2">
      <c r="A7892">
        <v>0</v>
      </c>
    </row>
    <row r="7893" spans="1:1" x14ac:dyDescent="0.2">
      <c r="A7893">
        <v>0</v>
      </c>
    </row>
    <row r="7894" spans="1:1" x14ac:dyDescent="0.2">
      <c r="A7894">
        <v>0</v>
      </c>
    </row>
    <row r="7895" spans="1:1" x14ac:dyDescent="0.2">
      <c r="A7895">
        <v>0</v>
      </c>
    </row>
    <row r="7896" spans="1:1" x14ac:dyDescent="0.2">
      <c r="A7896">
        <v>0</v>
      </c>
    </row>
    <row r="7897" spans="1:1" x14ac:dyDescent="0.2">
      <c r="A7897">
        <v>0</v>
      </c>
    </row>
    <row r="7898" spans="1:1" x14ac:dyDescent="0.2">
      <c r="A7898">
        <v>0</v>
      </c>
    </row>
    <row r="7899" spans="1:1" x14ac:dyDescent="0.2">
      <c r="A7899">
        <v>0</v>
      </c>
    </row>
    <row r="7900" spans="1:1" x14ac:dyDescent="0.2">
      <c r="A7900">
        <v>0</v>
      </c>
    </row>
    <row r="7901" spans="1:1" x14ac:dyDescent="0.2">
      <c r="A7901">
        <v>0</v>
      </c>
    </row>
    <row r="7902" spans="1:1" x14ac:dyDescent="0.2">
      <c r="A7902">
        <v>0</v>
      </c>
    </row>
    <row r="7903" spans="1:1" x14ac:dyDescent="0.2">
      <c r="A7903">
        <v>0</v>
      </c>
    </row>
    <row r="7904" spans="1:1" x14ac:dyDescent="0.2">
      <c r="A7904">
        <v>0</v>
      </c>
    </row>
    <row r="7905" spans="1:1" x14ac:dyDescent="0.2">
      <c r="A7905">
        <v>0</v>
      </c>
    </row>
    <row r="7906" spans="1:1" x14ac:dyDescent="0.2">
      <c r="A7906">
        <v>0</v>
      </c>
    </row>
    <row r="7907" spans="1:1" x14ac:dyDescent="0.2">
      <c r="A7907">
        <v>0</v>
      </c>
    </row>
    <row r="7908" spans="1:1" x14ac:dyDescent="0.2">
      <c r="A7908">
        <v>0</v>
      </c>
    </row>
    <row r="7909" spans="1:1" x14ac:dyDescent="0.2">
      <c r="A7909">
        <v>0</v>
      </c>
    </row>
    <row r="7910" spans="1:1" x14ac:dyDescent="0.2">
      <c r="A7910">
        <v>0</v>
      </c>
    </row>
    <row r="7911" spans="1:1" x14ac:dyDescent="0.2">
      <c r="A7911">
        <v>0</v>
      </c>
    </row>
    <row r="7912" spans="1:1" x14ac:dyDescent="0.2">
      <c r="A7912">
        <v>0</v>
      </c>
    </row>
    <row r="7913" spans="1:1" x14ac:dyDescent="0.2">
      <c r="A7913">
        <v>0</v>
      </c>
    </row>
    <row r="7914" spans="1:1" x14ac:dyDescent="0.2">
      <c r="A7914">
        <v>0</v>
      </c>
    </row>
    <row r="7915" spans="1:1" x14ac:dyDescent="0.2">
      <c r="A7915">
        <v>0</v>
      </c>
    </row>
    <row r="7916" spans="1:1" x14ac:dyDescent="0.2">
      <c r="A7916">
        <v>0</v>
      </c>
    </row>
    <row r="7917" spans="1:1" x14ac:dyDescent="0.2">
      <c r="A7917">
        <v>0</v>
      </c>
    </row>
    <row r="7918" spans="1:1" x14ac:dyDescent="0.2">
      <c r="A7918">
        <v>0</v>
      </c>
    </row>
    <row r="7919" spans="1:1" x14ac:dyDescent="0.2">
      <c r="A7919">
        <v>0</v>
      </c>
    </row>
    <row r="7920" spans="1:1" x14ac:dyDescent="0.2">
      <c r="A7920">
        <v>0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0</v>
      </c>
    </row>
    <row r="7939" spans="1:1" x14ac:dyDescent="0.2">
      <c r="A7939">
        <v>0</v>
      </c>
    </row>
    <row r="7940" spans="1:1" x14ac:dyDescent="0.2">
      <c r="A7940">
        <v>0</v>
      </c>
    </row>
    <row r="7941" spans="1:1" x14ac:dyDescent="0.2">
      <c r="A7941">
        <v>0</v>
      </c>
    </row>
    <row r="7942" spans="1:1" x14ac:dyDescent="0.2">
      <c r="A7942">
        <v>0</v>
      </c>
    </row>
    <row r="7943" spans="1:1" x14ac:dyDescent="0.2">
      <c r="A7943">
        <v>0</v>
      </c>
    </row>
    <row r="7944" spans="1:1" x14ac:dyDescent="0.2">
      <c r="A7944">
        <v>0</v>
      </c>
    </row>
    <row r="7945" spans="1:1" x14ac:dyDescent="0.2">
      <c r="A7945">
        <v>0</v>
      </c>
    </row>
    <row r="7946" spans="1:1" x14ac:dyDescent="0.2">
      <c r="A7946">
        <v>0</v>
      </c>
    </row>
    <row r="7947" spans="1:1" x14ac:dyDescent="0.2">
      <c r="A7947">
        <v>0</v>
      </c>
    </row>
    <row r="7948" spans="1:1" x14ac:dyDescent="0.2">
      <c r="A7948">
        <v>0</v>
      </c>
    </row>
    <row r="7949" spans="1:1" x14ac:dyDescent="0.2">
      <c r="A7949">
        <v>0</v>
      </c>
    </row>
    <row r="7950" spans="1:1" x14ac:dyDescent="0.2">
      <c r="A7950">
        <v>0</v>
      </c>
    </row>
    <row r="7951" spans="1:1" x14ac:dyDescent="0.2">
      <c r="A7951">
        <v>0</v>
      </c>
    </row>
    <row r="7952" spans="1:1" x14ac:dyDescent="0.2">
      <c r="A7952">
        <v>0</v>
      </c>
    </row>
    <row r="7953" spans="1:1" x14ac:dyDescent="0.2">
      <c r="A7953">
        <v>0</v>
      </c>
    </row>
    <row r="7954" spans="1:1" x14ac:dyDescent="0.2">
      <c r="A7954">
        <v>0</v>
      </c>
    </row>
    <row r="7955" spans="1:1" x14ac:dyDescent="0.2">
      <c r="A7955">
        <v>0</v>
      </c>
    </row>
    <row r="7956" spans="1:1" x14ac:dyDescent="0.2">
      <c r="A7956">
        <v>0</v>
      </c>
    </row>
    <row r="7957" spans="1:1" x14ac:dyDescent="0.2">
      <c r="A7957">
        <v>0</v>
      </c>
    </row>
    <row r="7958" spans="1:1" x14ac:dyDescent="0.2">
      <c r="A7958">
        <v>0</v>
      </c>
    </row>
    <row r="7959" spans="1:1" x14ac:dyDescent="0.2">
      <c r="A7959">
        <v>0</v>
      </c>
    </row>
    <row r="7960" spans="1:1" x14ac:dyDescent="0.2">
      <c r="A7960">
        <v>0</v>
      </c>
    </row>
    <row r="7961" spans="1:1" x14ac:dyDescent="0.2">
      <c r="A7961">
        <v>0</v>
      </c>
    </row>
    <row r="7962" spans="1:1" x14ac:dyDescent="0.2">
      <c r="A7962">
        <v>0</v>
      </c>
    </row>
    <row r="7963" spans="1:1" x14ac:dyDescent="0.2">
      <c r="A7963">
        <v>0</v>
      </c>
    </row>
    <row r="7964" spans="1:1" x14ac:dyDescent="0.2">
      <c r="A7964">
        <v>0</v>
      </c>
    </row>
    <row r="7965" spans="1:1" x14ac:dyDescent="0.2">
      <c r="A7965">
        <v>0</v>
      </c>
    </row>
    <row r="7966" spans="1:1" x14ac:dyDescent="0.2">
      <c r="A7966">
        <v>0</v>
      </c>
    </row>
    <row r="7967" spans="1:1" x14ac:dyDescent="0.2">
      <c r="A7967">
        <v>0</v>
      </c>
    </row>
    <row r="7968" spans="1:1" x14ac:dyDescent="0.2">
      <c r="A7968">
        <v>0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0</v>
      </c>
    </row>
    <row r="7987" spans="1:1" x14ac:dyDescent="0.2">
      <c r="A7987">
        <v>0</v>
      </c>
    </row>
    <row r="7988" spans="1:1" x14ac:dyDescent="0.2">
      <c r="A7988">
        <v>0</v>
      </c>
    </row>
    <row r="7989" spans="1:1" x14ac:dyDescent="0.2">
      <c r="A7989">
        <v>0</v>
      </c>
    </row>
    <row r="7990" spans="1:1" x14ac:dyDescent="0.2">
      <c r="A7990">
        <v>0</v>
      </c>
    </row>
    <row r="7991" spans="1:1" x14ac:dyDescent="0.2">
      <c r="A7991">
        <v>0</v>
      </c>
    </row>
    <row r="7992" spans="1:1" x14ac:dyDescent="0.2">
      <c r="A7992">
        <v>0</v>
      </c>
    </row>
    <row r="7993" spans="1:1" x14ac:dyDescent="0.2">
      <c r="A7993">
        <v>0</v>
      </c>
    </row>
    <row r="7994" spans="1:1" x14ac:dyDescent="0.2">
      <c r="A7994">
        <v>0</v>
      </c>
    </row>
    <row r="7995" spans="1:1" x14ac:dyDescent="0.2">
      <c r="A7995">
        <v>0</v>
      </c>
    </row>
    <row r="7996" spans="1:1" x14ac:dyDescent="0.2">
      <c r="A7996">
        <v>0</v>
      </c>
    </row>
    <row r="7997" spans="1:1" x14ac:dyDescent="0.2">
      <c r="A7997">
        <v>0</v>
      </c>
    </row>
    <row r="7998" spans="1:1" x14ac:dyDescent="0.2">
      <c r="A7998">
        <v>0</v>
      </c>
    </row>
    <row r="7999" spans="1:1" x14ac:dyDescent="0.2">
      <c r="A7999">
        <v>0</v>
      </c>
    </row>
    <row r="8000" spans="1:1" x14ac:dyDescent="0.2">
      <c r="A8000">
        <v>0</v>
      </c>
    </row>
    <row r="8001" spans="1:1" x14ac:dyDescent="0.2">
      <c r="A8001">
        <v>0</v>
      </c>
    </row>
    <row r="8002" spans="1:1" x14ac:dyDescent="0.2">
      <c r="A8002">
        <v>0</v>
      </c>
    </row>
    <row r="8003" spans="1:1" x14ac:dyDescent="0.2">
      <c r="A8003">
        <v>0</v>
      </c>
    </row>
    <row r="8004" spans="1:1" x14ac:dyDescent="0.2">
      <c r="A8004">
        <v>0</v>
      </c>
    </row>
    <row r="8005" spans="1:1" x14ac:dyDescent="0.2">
      <c r="A8005">
        <v>0</v>
      </c>
    </row>
    <row r="8006" spans="1:1" x14ac:dyDescent="0.2">
      <c r="A8006">
        <v>0</v>
      </c>
    </row>
    <row r="8007" spans="1:1" x14ac:dyDescent="0.2">
      <c r="A8007">
        <v>0</v>
      </c>
    </row>
    <row r="8008" spans="1:1" x14ac:dyDescent="0.2">
      <c r="A8008">
        <v>0</v>
      </c>
    </row>
    <row r="8009" spans="1:1" x14ac:dyDescent="0.2">
      <c r="A8009">
        <v>0</v>
      </c>
    </row>
    <row r="8010" spans="1:1" x14ac:dyDescent="0.2">
      <c r="A8010">
        <v>0</v>
      </c>
    </row>
    <row r="8011" spans="1:1" x14ac:dyDescent="0.2">
      <c r="A8011">
        <v>0</v>
      </c>
    </row>
    <row r="8012" spans="1:1" x14ac:dyDescent="0.2">
      <c r="A8012">
        <v>0</v>
      </c>
    </row>
    <row r="8013" spans="1:1" x14ac:dyDescent="0.2">
      <c r="A8013">
        <v>0</v>
      </c>
    </row>
    <row r="8014" spans="1:1" x14ac:dyDescent="0.2">
      <c r="A8014">
        <v>0</v>
      </c>
    </row>
    <row r="8015" spans="1:1" x14ac:dyDescent="0.2">
      <c r="A8015">
        <v>0</v>
      </c>
    </row>
    <row r="8016" spans="1:1" x14ac:dyDescent="0.2">
      <c r="A8016">
        <v>0</v>
      </c>
    </row>
    <row r="8017" spans="1:1" x14ac:dyDescent="0.2">
      <c r="A8017">
        <v>0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0</v>
      </c>
    </row>
    <row r="8035" spans="1:1" x14ac:dyDescent="0.2">
      <c r="A8035">
        <v>0</v>
      </c>
    </row>
    <row r="8036" spans="1:1" x14ac:dyDescent="0.2">
      <c r="A8036">
        <v>0</v>
      </c>
    </row>
    <row r="8037" spans="1:1" x14ac:dyDescent="0.2">
      <c r="A8037">
        <v>0</v>
      </c>
    </row>
    <row r="8038" spans="1:1" x14ac:dyDescent="0.2">
      <c r="A8038">
        <v>0</v>
      </c>
    </row>
    <row r="8039" spans="1:1" x14ac:dyDescent="0.2">
      <c r="A8039">
        <v>0</v>
      </c>
    </row>
    <row r="8040" spans="1:1" x14ac:dyDescent="0.2">
      <c r="A8040">
        <v>0</v>
      </c>
    </row>
    <row r="8041" spans="1:1" x14ac:dyDescent="0.2">
      <c r="A8041">
        <v>0</v>
      </c>
    </row>
    <row r="8042" spans="1:1" x14ac:dyDescent="0.2">
      <c r="A8042">
        <v>0</v>
      </c>
    </row>
    <row r="8043" spans="1:1" x14ac:dyDescent="0.2">
      <c r="A8043">
        <v>0</v>
      </c>
    </row>
    <row r="8044" spans="1:1" x14ac:dyDescent="0.2">
      <c r="A8044">
        <v>0</v>
      </c>
    </row>
    <row r="8045" spans="1:1" x14ac:dyDescent="0.2">
      <c r="A8045">
        <v>0</v>
      </c>
    </row>
    <row r="8046" spans="1:1" x14ac:dyDescent="0.2">
      <c r="A8046">
        <v>0</v>
      </c>
    </row>
    <row r="8047" spans="1:1" x14ac:dyDescent="0.2">
      <c r="A8047">
        <v>0</v>
      </c>
    </row>
    <row r="8048" spans="1:1" x14ac:dyDescent="0.2">
      <c r="A8048">
        <v>0</v>
      </c>
    </row>
    <row r="8049" spans="1:1" x14ac:dyDescent="0.2">
      <c r="A8049">
        <v>0</v>
      </c>
    </row>
    <row r="8050" spans="1:1" x14ac:dyDescent="0.2">
      <c r="A8050">
        <v>0</v>
      </c>
    </row>
    <row r="8051" spans="1:1" x14ac:dyDescent="0.2">
      <c r="A8051">
        <v>0</v>
      </c>
    </row>
    <row r="8052" spans="1:1" x14ac:dyDescent="0.2">
      <c r="A8052">
        <v>0</v>
      </c>
    </row>
    <row r="8053" spans="1:1" x14ac:dyDescent="0.2">
      <c r="A8053">
        <v>0</v>
      </c>
    </row>
    <row r="8054" spans="1:1" x14ac:dyDescent="0.2">
      <c r="A8054">
        <v>0</v>
      </c>
    </row>
    <row r="8055" spans="1:1" x14ac:dyDescent="0.2">
      <c r="A8055">
        <v>0</v>
      </c>
    </row>
    <row r="8056" spans="1:1" x14ac:dyDescent="0.2">
      <c r="A8056">
        <v>0</v>
      </c>
    </row>
    <row r="8057" spans="1:1" x14ac:dyDescent="0.2">
      <c r="A8057">
        <v>0</v>
      </c>
    </row>
    <row r="8058" spans="1:1" x14ac:dyDescent="0.2">
      <c r="A8058">
        <v>0</v>
      </c>
    </row>
    <row r="8059" spans="1:1" x14ac:dyDescent="0.2">
      <c r="A8059">
        <v>0</v>
      </c>
    </row>
    <row r="8060" spans="1:1" x14ac:dyDescent="0.2">
      <c r="A8060">
        <v>0</v>
      </c>
    </row>
    <row r="8061" spans="1:1" x14ac:dyDescent="0.2">
      <c r="A8061">
        <v>0</v>
      </c>
    </row>
    <row r="8062" spans="1:1" x14ac:dyDescent="0.2">
      <c r="A8062">
        <v>0</v>
      </c>
    </row>
    <row r="8063" spans="1:1" x14ac:dyDescent="0.2">
      <c r="A8063">
        <v>0</v>
      </c>
    </row>
    <row r="8064" spans="1:1" x14ac:dyDescent="0.2">
      <c r="A8064">
        <v>0</v>
      </c>
    </row>
    <row r="8065" spans="1:1" x14ac:dyDescent="0.2">
      <c r="A8065">
        <v>0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0</v>
      </c>
    </row>
    <row r="8083" spans="1:1" x14ac:dyDescent="0.2">
      <c r="A8083">
        <v>0</v>
      </c>
    </row>
    <row r="8084" spans="1:1" x14ac:dyDescent="0.2">
      <c r="A8084">
        <v>0</v>
      </c>
    </row>
    <row r="8085" spans="1:1" x14ac:dyDescent="0.2">
      <c r="A8085">
        <v>0</v>
      </c>
    </row>
    <row r="8086" spans="1:1" x14ac:dyDescent="0.2">
      <c r="A8086">
        <v>0</v>
      </c>
    </row>
    <row r="8087" spans="1:1" x14ac:dyDescent="0.2">
      <c r="A8087">
        <v>0</v>
      </c>
    </row>
    <row r="8088" spans="1:1" x14ac:dyDescent="0.2">
      <c r="A8088">
        <v>0</v>
      </c>
    </row>
    <row r="8089" spans="1:1" x14ac:dyDescent="0.2">
      <c r="A8089">
        <v>0</v>
      </c>
    </row>
    <row r="8090" spans="1:1" x14ac:dyDescent="0.2">
      <c r="A8090">
        <v>0</v>
      </c>
    </row>
    <row r="8091" spans="1:1" x14ac:dyDescent="0.2">
      <c r="A8091">
        <v>0</v>
      </c>
    </row>
    <row r="8092" spans="1:1" x14ac:dyDescent="0.2">
      <c r="A8092">
        <v>0</v>
      </c>
    </row>
    <row r="8093" spans="1:1" x14ac:dyDescent="0.2">
      <c r="A8093">
        <v>0</v>
      </c>
    </row>
    <row r="8094" spans="1:1" x14ac:dyDescent="0.2">
      <c r="A8094">
        <v>0</v>
      </c>
    </row>
    <row r="8095" spans="1:1" x14ac:dyDescent="0.2">
      <c r="A8095">
        <v>0</v>
      </c>
    </row>
    <row r="8096" spans="1:1" x14ac:dyDescent="0.2">
      <c r="A8096">
        <v>0</v>
      </c>
    </row>
    <row r="8097" spans="1:1" x14ac:dyDescent="0.2">
      <c r="A8097">
        <v>0</v>
      </c>
    </row>
    <row r="8098" spans="1:1" x14ac:dyDescent="0.2">
      <c r="A8098">
        <v>0</v>
      </c>
    </row>
    <row r="8099" spans="1:1" x14ac:dyDescent="0.2">
      <c r="A8099">
        <v>0</v>
      </c>
    </row>
    <row r="8100" spans="1:1" x14ac:dyDescent="0.2">
      <c r="A8100">
        <v>0</v>
      </c>
    </row>
    <row r="8101" spans="1:1" x14ac:dyDescent="0.2">
      <c r="A8101">
        <v>0</v>
      </c>
    </row>
    <row r="8102" spans="1:1" x14ac:dyDescent="0.2">
      <c r="A8102">
        <v>0</v>
      </c>
    </row>
    <row r="8103" spans="1:1" x14ac:dyDescent="0.2">
      <c r="A8103">
        <v>0</v>
      </c>
    </row>
    <row r="8104" spans="1:1" x14ac:dyDescent="0.2">
      <c r="A8104">
        <v>0</v>
      </c>
    </row>
    <row r="8105" spans="1:1" x14ac:dyDescent="0.2">
      <c r="A8105">
        <v>0</v>
      </c>
    </row>
    <row r="8106" spans="1:1" x14ac:dyDescent="0.2">
      <c r="A8106">
        <v>0</v>
      </c>
    </row>
    <row r="8107" spans="1:1" x14ac:dyDescent="0.2">
      <c r="A8107">
        <v>0</v>
      </c>
    </row>
    <row r="8108" spans="1:1" x14ac:dyDescent="0.2">
      <c r="A8108">
        <v>0</v>
      </c>
    </row>
    <row r="8109" spans="1:1" x14ac:dyDescent="0.2">
      <c r="A8109">
        <v>0</v>
      </c>
    </row>
    <row r="8110" spans="1:1" x14ac:dyDescent="0.2">
      <c r="A8110">
        <v>0</v>
      </c>
    </row>
    <row r="8111" spans="1:1" x14ac:dyDescent="0.2">
      <c r="A8111">
        <v>0</v>
      </c>
    </row>
    <row r="8112" spans="1:1" x14ac:dyDescent="0.2">
      <c r="A8112">
        <v>0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0</v>
      </c>
    </row>
    <row r="8131" spans="1:1" x14ac:dyDescent="0.2">
      <c r="A8131">
        <v>0</v>
      </c>
    </row>
    <row r="8132" spans="1:1" x14ac:dyDescent="0.2">
      <c r="A8132">
        <v>0</v>
      </c>
    </row>
    <row r="8133" spans="1:1" x14ac:dyDescent="0.2">
      <c r="A8133">
        <v>0</v>
      </c>
    </row>
    <row r="8134" spans="1:1" x14ac:dyDescent="0.2">
      <c r="A8134">
        <v>0</v>
      </c>
    </row>
    <row r="8135" spans="1:1" x14ac:dyDescent="0.2">
      <c r="A8135">
        <v>0</v>
      </c>
    </row>
    <row r="8136" spans="1:1" x14ac:dyDescent="0.2">
      <c r="A8136">
        <v>0</v>
      </c>
    </row>
    <row r="8137" spans="1:1" x14ac:dyDescent="0.2">
      <c r="A8137">
        <v>0</v>
      </c>
    </row>
    <row r="8138" spans="1:1" x14ac:dyDescent="0.2">
      <c r="A8138">
        <v>0</v>
      </c>
    </row>
    <row r="8139" spans="1:1" x14ac:dyDescent="0.2">
      <c r="A8139">
        <v>0</v>
      </c>
    </row>
    <row r="8140" spans="1:1" x14ac:dyDescent="0.2">
      <c r="A8140">
        <v>0</v>
      </c>
    </row>
    <row r="8141" spans="1:1" x14ac:dyDescent="0.2">
      <c r="A8141">
        <v>0</v>
      </c>
    </row>
    <row r="8142" spans="1:1" x14ac:dyDescent="0.2">
      <c r="A8142">
        <v>0</v>
      </c>
    </row>
    <row r="8143" spans="1:1" x14ac:dyDescent="0.2">
      <c r="A8143">
        <v>0</v>
      </c>
    </row>
    <row r="8144" spans="1:1" x14ac:dyDescent="0.2">
      <c r="A8144">
        <v>0</v>
      </c>
    </row>
    <row r="8145" spans="1:1" x14ac:dyDescent="0.2">
      <c r="A8145">
        <v>0</v>
      </c>
    </row>
    <row r="8146" spans="1:1" x14ac:dyDescent="0.2">
      <c r="A8146">
        <v>0</v>
      </c>
    </row>
    <row r="8147" spans="1:1" x14ac:dyDescent="0.2">
      <c r="A8147">
        <v>0</v>
      </c>
    </row>
    <row r="8148" spans="1:1" x14ac:dyDescent="0.2">
      <c r="A8148">
        <v>0</v>
      </c>
    </row>
    <row r="8149" spans="1:1" x14ac:dyDescent="0.2">
      <c r="A8149">
        <v>0</v>
      </c>
    </row>
    <row r="8150" spans="1:1" x14ac:dyDescent="0.2">
      <c r="A8150">
        <v>0</v>
      </c>
    </row>
    <row r="8151" spans="1:1" x14ac:dyDescent="0.2">
      <c r="A8151">
        <v>0</v>
      </c>
    </row>
    <row r="8152" spans="1:1" x14ac:dyDescent="0.2">
      <c r="A8152">
        <v>0</v>
      </c>
    </row>
    <row r="8153" spans="1:1" x14ac:dyDescent="0.2">
      <c r="A8153">
        <v>0</v>
      </c>
    </row>
    <row r="8154" spans="1:1" x14ac:dyDescent="0.2">
      <c r="A8154">
        <v>0</v>
      </c>
    </row>
    <row r="8155" spans="1:1" x14ac:dyDescent="0.2">
      <c r="A8155">
        <v>0</v>
      </c>
    </row>
    <row r="8156" spans="1:1" x14ac:dyDescent="0.2">
      <c r="A8156">
        <v>0</v>
      </c>
    </row>
    <row r="8157" spans="1:1" x14ac:dyDescent="0.2">
      <c r="A8157">
        <v>0</v>
      </c>
    </row>
    <row r="8158" spans="1:1" x14ac:dyDescent="0.2">
      <c r="A8158">
        <v>0</v>
      </c>
    </row>
    <row r="8159" spans="1:1" x14ac:dyDescent="0.2">
      <c r="A8159">
        <v>0</v>
      </c>
    </row>
    <row r="8160" spans="1:1" x14ac:dyDescent="0.2">
      <c r="A8160">
        <v>0</v>
      </c>
    </row>
    <row r="8161" spans="1:1" x14ac:dyDescent="0.2">
      <c r="A8161">
        <v>0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0</v>
      </c>
    </row>
    <row r="8179" spans="1:1" x14ac:dyDescent="0.2">
      <c r="A8179">
        <v>0</v>
      </c>
    </row>
    <row r="8180" spans="1:1" x14ac:dyDescent="0.2">
      <c r="A8180">
        <v>0</v>
      </c>
    </row>
    <row r="8181" spans="1:1" x14ac:dyDescent="0.2">
      <c r="A8181">
        <v>0</v>
      </c>
    </row>
    <row r="8182" spans="1:1" x14ac:dyDescent="0.2">
      <c r="A8182">
        <v>0</v>
      </c>
    </row>
    <row r="8183" spans="1:1" x14ac:dyDescent="0.2">
      <c r="A8183">
        <v>0</v>
      </c>
    </row>
    <row r="8184" spans="1:1" x14ac:dyDescent="0.2">
      <c r="A8184">
        <v>0</v>
      </c>
    </row>
    <row r="8185" spans="1:1" x14ac:dyDescent="0.2">
      <c r="A8185">
        <v>0</v>
      </c>
    </row>
    <row r="8186" spans="1:1" x14ac:dyDescent="0.2">
      <c r="A8186">
        <v>0</v>
      </c>
    </row>
    <row r="8187" spans="1:1" x14ac:dyDescent="0.2">
      <c r="A8187">
        <v>0</v>
      </c>
    </row>
    <row r="8188" spans="1:1" x14ac:dyDescent="0.2">
      <c r="A8188">
        <v>0</v>
      </c>
    </row>
    <row r="8189" spans="1:1" x14ac:dyDescent="0.2">
      <c r="A8189">
        <v>0</v>
      </c>
    </row>
    <row r="8190" spans="1:1" x14ac:dyDescent="0.2">
      <c r="A8190">
        <v>0</v>
      </c>
    </row>
    <row r="8191" spans="1:1" x14ac:dyDescent="0.2">
      <c r="A8191">
        <v>0</v>
      </c>
    </row>
    <row r="8192" spans="1:1" x14ac:dyDescent="0.2">
      <c r="A8192">
        <v>0</v>
      </c>
    </row>
    <row r="8193" spans="1:1" x14ac:dyDescent="0.2">
      <c r="A8193">
        <v>0</v>
      </c>
    </row>
    <row r="8194" spans="1:1" x14ac:dyDescent="0.2">
      <c r="A8194">
        <v>0</v>
      </c>
    </row>
    <row r="8195" spans="1:1" x14ac:dyDescent="0.2">
      <c r="A8195">
        <v>0</v>
      </c>
    </row>
    <row r="8196" spans="1:1" x14ac:dyDescent="0.2">
      <c r="A8196">
        <v>0</v>
      </c>
    </row>
    <row r="8197" spans="1:1" x14ac:dyDescent="0.2">
      <c r="A8197">
        <v>0</v>
      </c>
    </row>
    <row r="8198" spans="1:1" x14ac:dyDescent="0.2">
      <c r="A8198">
        <v>0</v>
      </c>
    </row>
    <row r="8199" spans="1:1" x14ac:dyDescent="0.2">
      <c r="A8199">
        <v>0</v>
      </c>
    </row>
    <row r="8200" spans="1:1" x14ac:dyDescent="0.2">
      <c r="A8200">
        <v>0</v>
      </c>
    </row>
    <row r="8201" spans="1:1" x14ac:dyDescent="0.2">
      <c r="A8201">
        <v>0</v>
      </c>
    </row>
    <row r="8202" spans="1:1" x14ac:dyDescent="0.2">
      <c r="A8202">
        <v>0</v>
      </c>
    </row>
    <row r="8203" spans="1:1" x14ac:dyDescent="0.2">
      <c r="A8203">
        <v>0</v>
      </c>
    </row>
    <row r="8204" spans="1:1" x14ac:dyDescent="0.2">
      <c r="A8204">
        <v>0</v>
      </c>
    </row>
    <row r="8205" spans="1:1" x14ac:dyDescent="0.2">
      <c r="A8205">
        <v>0</v>
      </c>
    </row>
    <row r="8206" spans="1:1" x14ac:dyDescent="0.2">
      <c r="A8206">
        <v>0</v>
      </c>
    </row>
    <row r="8207" spans="1:1" x14ac:dyDescent="0.2">
      <c r="A8207">
        <v>0</v>
      </c>
    </row>
    <row r="8208" spans="1:1" x14ac:dyDescent="0.2">
      <c r="A8208">
        <v>0</v>
      </c>
    </row>
    <row r="8209" spans="1:1" x14ac:dyDescent="0.2">
      <c r="A8209">
        <v>0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0</v>
      </c>
    </row>
    <row r="8227" spans="1:1" x14ac:dyDescent="0.2">
      <c r="A8227">
        <v>0</v>
      </c>
    </row>
    <row r="8228" spans="1:1" x14ac:dyDescent="0.2">
      <c r="A8228">
        <v>0</v>
      </c>
    </row>
    <row r="8229" spans="1:1" x14ac:dyDescent="0.2">
      <c r="A8229">
        <v>0</v>
      </c>
    </row>
    <row r="8230" spans="1:1" x14ac:dyDescent="0.2">
      <c r="A8230">
        <v>0</v>
      </c>
    </row>
    <row r="8231" spans="1:1" x14ac:dyDescent="0.2">
      <c r="A8231">
        <v>0</v>
      </c>
    </row>
    <row r="8232" spans="1:1" x14ac:dyDescent="0.2">
      <c r="A8232">
        <v>0</v>
      </c>
    </row>
    <row r="8233" spans="1:1" x14ac:dyDescent="0.2">
      <c r="A8233">
        <v>0</v>
      </c>
    </row>
    <row r="8234" spans="1:1" x14ac:dyDescent="0.2">
      <c r="A8234">
        <v>0</v>
      </c>
    </row>
    <row r="8235" spans="1:1" x14ac:dyDescent="0.2">
      <c r="A8235">
        <v>0</v>
      </c>
    </row>
    <row r="8236" spans="1:1" x14ac:dyDescent="0.2">
      <c r="A8236">
        <v>0</v>
      </c>
    </row>
    <row r="8237" spans="1:1" x14ac:dyDescent="0.2">
      <c r="A8237">
        <v>0</v>
      </c>
    </row>
    <row r="8238" spans="1:1" x14ac:dyDescent="0.2">
      <c r="A8238">
        <v>0</v>
      </c>
    </row>
    <row r="8239" spans="1:1" x14ac:dyDescent="0.2">
      <c r="A8239">
        <v>0</v>
      </c>
    </row>
    <row r="8240" spans="1:1" x14ac:dyDescent="0.2">
      <c r="A8240">
        <v>0</v>
      </c>
    </row>
    <row r="8241" spans="1:1" x14ac:dyDescent="0.2">
      <c r="A8241">
        <v>0</v>
      </c>
    </row>
    <row r="8242" spans="1:1" x14ac:dyDescent="0.2">
      <c r="A8242">
        <v>0</v>
      </c>
    </row>
    <row r="8243" spans="1:1" x14ac:dyDescent="0.2">
      <c r="A8243">
        <v>0</v>
      </c>
    </row>
    <row r="8244" spans="1:1" x14ac:dyDescent="0.2">
      <c r="A8244">
        <v>0</v>
      </c>
    </row>
    <row r="8245" spans="1:1" x14ac:dyDescent="0.2">
      <c r="A8245">
        <v>0</v>
      </c>
    </row>
    <row r="8246" spans="1:1" x14ac:dyDescent="0.2">
      <c r="A8246">
        <v>0</v>
      </c>
    </row>
    <row r="8247" spans="1:1" x14ac:dyDescent="0.2">
      <c r="A8247">
        <v>0</v>
      </c>
    </row>
    <row r="8248" spans="1:1" x14ac:dyDescent="0.2">
      <c r="A8248">
        <v>0</v>
      </c>
    </row>
    <row r="8249" spans="1:1" x14ac:dyDescent="0.2">
      <c r="A8249">
        <v>0</v>
      </c>
    </row>
    <row r="8250" spans="1:1" x14ac:dyDescent="0.2">
      <c r="A8250">
        <v>0</v>
      </c>
    </row>
    <row r="8251" spans="1:1" x14ac:dyDescent="0.2">
      <c r="A8251">
        <v>0</v>
      </c>
    </row>
    <row r="8252" spans="1:1" x14ac:dyDescent="0.2">
      <c r="A8252">
        <v>0</v>
      </c>
    </row>
    <row r="8253" spans="1:1" x14ac:dyDescent="0.2">
      <c r="A8253">
        <v>0</v>
      </c>
    </row>
    <row r="8254" spans="1:1" x14ac:dyDescent="0.2">
      <c r="A8254">
        <v>0</v>
      </c>
    </row>
    <row r="8255" spans="1:1" x14ac:dyDescent="0.2">
      <c r="A8255">
        <v>0</v>
      </c>
    </row>
    <row r="8256" spans="1:1" x14ac:dyDescent="0.2">
      <c r="A8256">
        <v>0</v>
      </c>
    </row>
    <row r="8257" spans="1:1" x14ac:dyDescent="0.2">
      <c r="A8257">
        <v>0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0</v>
      </c>
    </row>
    <row r="8275" spans="1:1" x14ac:dyDescent="0.2">
      <c r="A8275">
        <v>0</v>
      </c>
    </row>
    <row r="8276" spans="1:1" x14ac:dyDescent="0.2">
      <c r="A8276">
        <v>0</v>
      </c>
    </row>
    <row r="8277" spans="1:1" x14ac:dyDescent="0.2">
      <c r="A8277">
        <v>0</v>
      </c>
    </row>
    <row r="8278" spans="1:1" x14ac:dyDescent="0.2">
      <c r="A8278">
        <v>0</v>
      </c>
    </row>
    <row r="8279" spans="1:1" x14ac:dyDescent="0.2">
      <c r="A8279">
        <v>0</v>
      </c>
    </row>
    <row r="8280" spans="1:1" x14ac:dyDescent="0.2">
      <c r="A8280">
        <v>0</v>
      </c>
    </row>
    <row r="8281" spans="1:1" x14ac:dyDescent="0.2">
      <c r="A8281">
        <v>0</v>
      </c>
    </row>
    <row r="8282" spans="1:1" x14ac:dyDescent="0.2">
      <c r="A8282">
        <v>0</v>
      </c>
    </row>
    <row r="8283" spans="1:1" x14ac:dyDescent="0.2">
      <c r="A8283">
        <v>0</v>
      </c>
    </row>
    <row r="8284" spans="1:1" x14ac:dyDescent="0.2">
      <c r="A8284">
        <v>0</v>
      </c>
    </row>
    <row r="8285" spans="1:1" x14ac:dyDescent="0.2">
      <c r="A8285">
        <v>0</v>
      </c>
    </row>
    <row r="8286" spans="1:1" x14ac:dyDescent="0.2">
      <c r="A8286">
        <v>0</v>
      </c>
    </row>
    <row r="8287" spans="1:1" x14ac:dyDescent="0.2">
      <c r="A8287">
        <v>0</v>
      </c>
    </row>
    <row r="8288" spans="1:1" x14ac:dyDescent="0.2">
      <c r="A8288">
        <v>0</v>
      </c>
    </row>
    <row r="8289" spans="1:1" x14ac:dyDescent="0.2">
      <c r="A8289">
        <v>0</v>
      </c>
    </row>
    <row r="8290" spans="1:1" x14ac:dyDescent="0.2">
      <c r="A8290">
        <v>0</v>
      </c>
    </row>
    <row r="8291" spans="1:1" x14ac:dyDescent="0.2">
      <c r="A8291">
        <v>0</v>
      </c>
    </row>
    <row r="8292" spans="1:1" x14ac:dyDescent="0.2">
      <c r="A8292">
        <v>0</v>
      </c>
    </row>
    <row r="8293" spans="1:1" x14ac:dyDescent="0.2">
      <c r="A8293">
        <v>0</v>
      </c>
    </row>
    <row r="8294" spans="1:1" x14ac:dyDescent="0.2">
      <c r="A8294">
        <v>0</v>
      </c>
    </row>
    <row r="8295" spans="1:1" x14ac:dyDescent="0.2">
      <c r="A8295">
        <v>0</v>
      </c>
    </row>
    <row r="8296" spans="1:1" x14ac:dyDescent="0.2">
      <c r="A8296">
        <v>0</v>
      </c>
    </row>
    <row r="8297" spans="1:1" x14ac:dyDescent="0.2">
      <c r="A8297">
        <v>0</v>
      </c>
    </row>
    <row r="8298" spans="1:1" x14ac:dyDescent="0.2">
      <c r="A8298">
        <v>0</v>
      </c>
    </row>
    <row r="8299" spans="1:1" x14ac:dyDescent="0.2">
      <c r="A8299">
        <v>0</v>
      </c>
    </row>
    <row r="8300" spans="1:1" x14ac:dyDescent="0.2">
      <c r="A8300">
        <v>0</v>
      </c>
    </row>
    <row r="8301" spans="1:1" x14ac:dyDescent="0.2">
      <c r="A8301">
        <v>0</v>
      </c>
    </row>
    <row r="8302" spans="1:1" x14ac:dyDescent="0.2">
      <c r="A8302">
        <v>0</v>
      </c>
    </row>
    <row r="8303" spans="1:1" x14ac:dyDescent="0.2">
      <c r="A8303">
        <v>0</v>
      </c>
    </row>
    <row r="8304" spans="1:1" x14ac:dyDescent="0.2">
      <c r="A8304">
        <v>0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0</v>
      </c>
    </row>
    <row r="8323" spans="1:1" x14ac:dyDescent="0.2">
      <c r="A8323">
        <v>0</v>
      </c>
    </row>
    <row r="8324" spans="1:1" x14ac:dyDescent="0.2">
      <c r="A8324">
        <v>0</v>
      </c>
    </row>
    <row r="8325" spans="1:1" x14ac:dyDescent="0.2">
      <c r="A8325">
        <v>0</v>
      </c>
    </row>
    <row r="8326" spans="1:1" x14ac:dyDescent="0.2">
      <c r="A8326">
        <v>0</v>
      </c>
    </row>
    <row r="8327" spans="1:1" x14ac:dyDescent="0.2">
      <c r="A8327">
        <v>0</v>
      </c>
    </row>
    <row r="8328" spans="1:1" x14ac:dyDescent="0.2">
      <c r="A8328">
        <v>0</v>
      </c>
    </row>
    <row r="8329" spans="1:1" x14ac:dyDescent="0.2">
      <c r="A8329">
        <v>0</v>
      </c>
    </row>
    <row r="8330" spans="1:1" x14ac:dyDescent="0.2">
      <c r="A8330">
        <v>0</v>
      </c>
    </row>
    <row r="8331" spans="1:1" x14ac:dyDescent="0.2">
      <c r="A8331">
        <v>0</v>
      </c>
    </row>
    <row r="8332" spans="1:1" x14ac:dyDescent="0.2">
      <c r="A8332">
        <v>0</v>
      </c>
    </row>
    <row r="8333" spans="1:1" x14ac:dyDescent="0.2">
      <c r="A8333">
        <v>0</v>
      </c>
    </row>
    <row r="8334" spans="1:1" x14ac:dyDescent="0.2">
      <c r="A8334">
        <v>0</v>
      </c>
    </row>
    <row r="8335" spans="1:1" x14ac:dyDescent="0.2">
      <c r="A8335">
        <v>0</v>
      </c>
    </row>
    <row r="8336" spans="1:1" x14ac:dyDescent="0.2">
      <c r="A8336">
        <v>0</v>
      </c>
    </row>
    <row r="8337" spans="1:1" x14ac:dyDescent="0.2">
      <c r="A8337">
        <v>0</v>
      </c>
    </row>
    <row r="8338" spans="1:1" x14ac:dyDescent="0.2">
      <c r="A8338">
        <v>0</v>
      </c>
    </row>
    <row r="8339" spans="1:1" x14ac:dyDescent="0.2">
      <c r="A8339">
        <v>0</v>
      </c>
    </row>
    <row r="8340" spans="1:1" x14ac:dyDescent="0.2">
      <c r="A8340">
        <v>0</v>
      </c>
    </row>
    <row r="8341" spans="1:1" x14ac:dyDescent="0.2">
      <c r="A8341">
        <v>0</v>
      </c>
    </row>
    <row r="8342" spans="1:1" x14ac:dyDescent="0.2">
      <c r="A8342">
        <v>0</v>
      </c>
    </row>
    <row r="8343" spans="1:1" x14ac:dyDescent="0.2">
      <c r="A8343">
        <v>0</v>
      </c>
    </row>
    <row r="8344" spans="1:1" x14ac:dyDescent="0.2">
      <c r="A8344">
        <v>0</v>
      </c>
    </row>
    <row r="8345" spans="1:1" x14ac:dyDescent="0.2">
      <c r="A8345">
        <v>0</v>
      </c>
    </row>
    <row r="8346" spans="1:1" x14ac:dyDescent="0.2">
      <c r="A8346">
        <v>0</v>
      </c>
    </row>
    <row r="8347" spans="1:1" x14ac:dyDescent="0.2">
      <c r="A8347">
        <v>0</v>
      </c>
    </row>
    <row r="8348" spans="1:1" x14ac:dyDescent="0.2">
      <c r="A8348">
        <v>0</v>
      </c>
    </row>
    <row r="8349" spans="1:1" x14ac:dyDescent="0.2">
      <c r="A8349">
        <v>0</v>
      </c>
    </row>
    <row r="8350" spans="1:1" x14ac:dyDescent="0.2">
      <c r="A8350">
        <v>0</v>
      </c>
    </row>
    <row r="8351" spans="1:1" x14ac:dyDescent="0.2">
      <c r="A8351">
        <v>0</v>
      </c>
    </row>
    <row r="8352" spans="1:1" x14ac:dyDescent="0.2">
      <c r="A8352">
        <v>0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0</v>
      </c>
    </row>
    <row r="8371" spans="1:1" x14ac:dyDescent="0.2">
      <c r="A8371">
        <v>0</v>
      </c>
    </row>
    <row r="8372" spans="1:1" x14ac:dyDescent="0.2">
      <c r="A8372">
        <v>0</v>
      </c>
    </row>
    <row r="8373" spans="1:1" x14ac:dyDescent="0.2">
      <c r="A8373">
        <v>0</v>
      </c>
    </row>
    <row r="8374" spans="1:1" x14ac:dyDescent="0.2">
      <c r="A8374">
        <v>0</v>
      </c>
    </row>
    <row r="8375" spans="1:1" x14ac:dyDescent="0.2">
      <c r="A8375">
        <v>0</v>
      </c>
    </row>
    <row r="8376" spans="1:1" x14ac:dyDescent="0.2">
      <c r="A8376">
        <v>0</v>
      </c>
    </row>
    <row r="8377" spans="1:1" x14ac:dyDescent="0.2">
      <c r="A8377">
        <v>0</v>
      </c>
    </row>
    <row r="8378" spans="1:1" x14ac:dyDescent="0.2">
      <c r="A8378">
        <v>0</v>
      </c>
    </row>
    <row r="8379" spans="1:1" x14ac:dyDescent="0.2">
      <c r="A8379">
        <v>0</v>
      </c>
    </row>
    <row r="8380" spans="1:1" x14ac:dyDescent="0.2">
      <c r="A8380">
        <v>0</v>
      </c>
    </row>
    <row r="8381" spans="1:1" x14ac:dyDescent="0.2">
      <c r="A8381">
        <v>0</v>
      </c>
    </row>
    <row r="8382" spans="1:1" x14ac:dyDescent="0.2">
      <c r="A8382">
        <v>0</v>
      </c>
    </row>
    <row r="8383" spans="1:1" x14ac:dyDescent="0.2">
      <c r="A8383">
        <v>0</v>
      </c>
    </row>
    <row r="8384" spans="1:1" x14ac:dyDescent="0.2">
      <c r="A8384">
        <v>0</v>
      </c>
    </row>
    <row r="8385" spans="1:1" x14ac:dyDescent="0.2">
      <c r="A8385">
        <v>0</v>
      </c>
    </row>
    <row r="8386" spans="1:1" x14ac:dyDescent="0.2">
      <c r="A8386">
        <v>0</v>
      </c>
    </row>
    <row r="8387" spans="1:1" x14ac:dyDescent="0.2">
      <c r="A8387">
        <v>0</v>
      </c>
    </row>
    <row r="8388" spans="1:1" x14ac:dyDescent="0.2">
      <c r="A8388">
        <v>0</v>
      </c>
    </row>
    <row r="8389" spans="1:1" x14ac:dyDescent="0.2">
      <c r="A8389">
        <v>0</v>
      </c>
    </row>
    <row r="8390" spans="1:1" x14ac:dyDescent="0.2">
      <c r="A8390">
        <v>0</v>
      </c>
    </row>
    <row r="8391" spans="1:1" x14ac:dyDescent="0.2">
      <c r="A8391">
        <v>0</v>
      </c>
    </row>
    <row r="8392" spans="1:1" x14ac:dyDescent="0.2">
      <c r="A8392">
        <v>0</v>
      </c>
    </row>
    <row r="8393" spans="1:1" x14ac:dyDescent="0.2">
      <c r="A8393">
        <v>0</v>
      </c>
    </row>
    <row r="8394" spans="1:1" x14ac:dyDescent="0.2">
      <c r="A8394">
        <v>0</v>
      </c>
    </row>
    <row r="8395" spans="1:1" x14ac:dyDescent="0.2">
      <c r="A8395">
        <v>0</v>
      </c>
    </row>
    <row r="8396" spans="1:1" x14ac:dyDescent="0.2">
      <c r="A8396">
        <v>0</v>
      </c>
    </row>
    <row r="8397" spans="1:1" x14ac:dyDescent="0.2">
      <c r="A8397">
        <v>0</v>
      </c>
    </row>
    <row r="8398" spans="1:1" x14ac:dyDescent="0.2">
      <c r="A8398">
        <v>0</v>
      </c>
    </row>
    <row r="8399" spans="1:1" x14ac:dyDescent="0.2">
      <c r="A8399">
        <v>0</v>
      </c>
    </row>
    <row r="8400" spans="1:1" x14ac:dyDescent="0.2">
      <c r="A8400">
        <v>0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</v>
      </c>
    </row>
    <row r="8419" spans="1:1" x14ac:dyDescent="0.2">
      <c r="A8419">
        <v>0</v>
      </c>
    </row>
    <row r="8420" spans="1:1" x14ac:dyDescent="0.2">
      <c r="A8420">
        <v>0</v>
      </c>
    </row>
    <row r="8421" spans="1:1" x14ac:dyDescent="0.2">
      <c r="A8421">
        <v>0</v>
      </c>
    </row>
    <row r="8422" spans="1:1" x14ac:dyDescent="0.2">
      <c r="A8422">
        <v>0</v>
      </c>
    </row>
    <row r="8423" spans="1:1" x14ac:dyDescent="0.2">
      <c r="A8423">
        <v>0</v>
      </c>
    </row>
    <row r="8424" spans="1:1" x14ac:dyDescent="0.2">
      <c r="A8424">
        <v>0</v>
      </c>
    </row>
    <row r="8425" spans="1:1" x14ac:dyDescent="0.2">
      <c r="A8425">
        <v>0</v>
      </c>
    </row>
    <row r="8426" spans="1:1" x14ac:dyDescent="0.2">
      <c r="A8426">
        <v>0</v>
      </c>
    </row>
    <row r="8427" spans="1:1" x14ac:dyDescent="0.2">
      <c r="A8427">
        <v>0</v>
      </c>
    </row>
    <row r="8428" spans="1:1" x14ac:dyDescent="0.2">
      <c r="A8428">
        <v>0</v>
      </c>
    </row>
    <row r="8429" spans="1:1" x14ac:dyDescent="0.2">
      <c r="A8429">
        <v>0</v>
      </c>
    </row>
    <row r="8430" spans="1:1" x14ac:dyDescent="0.2">
      <c r="A8430">
        <v>0</v>
      </c>
    </row>
    <row r="8431" spans="1:1" x14ac:dyDescent="0.2">
      <c r="A8431">
        <v>0</v>
      </c>
    </row>
    <row r="8432" spans="1:1" x14ac:dyDescent="0.2">
      <c r="A8432">
        <v>0</v>
      </c>
    </row>
    <row r="8433" spans="1:1" x14ac:dyDescent="0.2">
      <c r="A8433">
        <v>0</v>
      </c>
    </row>
    <row r="8434" spans="1:1" x14ac:dyDescent="0.2">
      <c r="A8434">
        <v>0</v>
      </c>
    </row>
    <row r="8435" spans="1:1" x14ac:dyDescent="0.2">
      <c r="A8435">
        <v>0</v>
      </c>
    </row>
    <row r="8436" spans="1:1" x14ac:dyDescent="0.2">
      <c r="A8436">
        <v>0</v>
      </c>
    </row>
    <row r="8437" spans="1:1" x14ac:dyDescent="0.2">
      <c r="A8437">
        <v>0</v>
      </c>
    </row>
    <row r="8438" spans="1:1" x14ac:dyDescent="0.2">
      <c r="A8438">
        <v>0</v>
      </c>
    </row>
    <row r="8439" spans="1:1" x14ac:dyDescent="0.2">
      <c r="A8439">
        <v>0</v>
      </c>
    </row>
    <row r="8440" spans="1:1" x14ac:dyDescent="0.2">
      <c r="A8440">
        <v>0</v>
      </c>
    </row>
    <row r="8441" spans="1:1" x14ac:dyDescent="0.2">
      <c r="A8441">
        <v>0</v>
      </c>
    </row>
    <row r="8442" spans="1:1" x14ac:dyDescent="0.2">
      <c r="A8442">
        <v>0</v>
      </c>
    </row>
    <row r="8443" spans="1:1" x14ac:dyDescent="0.2">
      <c r="A8443">
        <v>0</v>
      </c>
    </row>
    <row r="8444" spans="1:1" x14ac:dyDescent="0.2">
      <c r="A8444">
        <v>0</v>
      </c>
    </row>
    <row r="8445" spans="1:1" x14ac:dyDescent="0.2">
      <c r="A8445">
        <v>0</v>
      </c>
    </row>
    <row r="8446" spans="1:1" x14ac:dyDescent="0.2">
      <c r="A8446">
        <v>0</v>
      </c>
    </row>
    <row r="8447" spans="1:1" x14ac:dyDescent="0.2">
      <c r="A8447">
        <v>0</v>
      </c>
    </row>
    <row r="8448" spans="1:1" x14ac:dyDescent="0.2">
      <c r="A8448">
        <v>0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0</v>
      </c>
    </row>
    <row r="8467" spans="1:1" x14ac:dyDescent="0.2">
      <c r="A8467">
        <v>0</v>
      </c>
    </row>
    <row r="8468" spans="1:1" x14ac:dyDescent="0.2">
      <c r="A8468">
        <v>0</v>
      </c>
    </row>
    <row r="8469" spans="1:1" x14ac:dyDescent="0.2">
      <c r="A8469">
        <v>0</v>
      </c>
    </row>
    <row r="8470" spans="1:1" x14ac:dyDescent="0.2">
      <c r="A8470">
        <v>0</v>
      </c>
    </row>
    <row r="8471" spans="1:1" x14ac:dyDescent="0.2">
      <c r="A8471">
        <v>0</v>
      </c>
    </row>
    <row r="8472" spans="1:1" x14ac:dyDescent="0.2">
      <c r="A8472">
        <v>0</v>
      </c>
    </row>
    <row r="8473" spans="1:1" x14ac:dyDescent="0.2">
      <c r="A8473">
        <v>0</v>
      </c>
    </row>
    <row r="8474" spans="1:1" x14ac:dyDescent="0.2">
      <c r="A8474">
        <v>0</v>
      </c>
    </row>
    <row r="8475" spans="1:1" x14ac:dyDescent="0.2">
      <c r="A8475">
        <v>0</v>
      </c>
    </row>
    <row r="8476" spans="1:1" x14ac:dyDescent="0.2">
      <c r="A8476">
        <v>0</v>
      </c>
    </row>
    <row r="8477" spans="1:1" x14ac:dyDescent="0.2">
      <c r="A8477">
        <v>0</v>
      </c>
    </row>
    <row r="8478" spans="1:1" x14ac:dyDescent="0.2">
      <c r="A8478">
        <v>0</v>
      </c>
    </row>
    <row r="8479" spans="1:1" x14ac:dyDescent="0.2">
      <c r="A8479">
        <v>0</v>
      </c>
    </row>
    <row r="8480" spans="1:1" x14ac:dyDescent="0.2">
      <c r="A8480">
        <v>0</v>
      </c>
    </row>
    <row r="8481" spans="1:1" x14ac:dyDescent="0.2">
      <c r="A8481">
        <v>0</v>
      </c>
    </row>
    <row r="8482" spans="1:1" x14ac:dyDescent="0.2">
      <c r="A8482">
        <v>0</v>
      </c>
    </row>
    <row r="8483" spans="1:1" x14ac:dyDescent="0.2">
      <c r="A8483">
        <v>0</v>
      </c>
    </row>
    <row r="8484" spans="1:1" x14ac:dyDescent="0.2">
      <c r="A8484">
        <v>0</v>
      </c>
    </row>
    <row r="8485" spans="1:1" x14ac:dyDescent="0.2">
      <c r="A8485">
        <v>0</v>
      </c>
    </row>
    <row r="8486" spans="1:1" x14ac:dyDescent="0.2">
      <c r="A8486">
        <v>0</v>
      </c>
    </row>
    <row r="8487" spans="1:1" x14ac:dyDescent="0.2">
      <c r="A8487">
        <v>0</v>
      </c>
    </row>
    <row r="8488" spans="1:1" x14ac:dyDescent="0.2">
      <c r="A8488">
        <v>0</v>
      </c>
    </row>
    <row r="8489" spans="1:1" x14ac:dyDescent="0.2">
      <c r="A8489">
        <v>0</v>
      </c>
    </row>
    <row r="8490" spans="1:1" x14ac:dyDescent="0.2">
      <c r="A8490">
        <v>0</v>
      </c>
    </row>
    <row r="8491" spans="1:1" x14ac:dyDescent="0.2">
      <c r="A8491">
        <v>0</v>
      </c>
    </row>
    <row r="8492" spans="1:1" x14ac:dyDescent="0.2">
      <c r="A8492">
        <v>0</v>
      </c>
    </row>
    <row r="8493" spans="1:1" x14ac:dyDescent="0.2">
      <c r="A8493">
        <v>0</v>
      </c>
    </row>
    <row r="8494" spans="1:1" x14ac:dyDescent="0.2">
      <c r="A8494">
        <v>0</v>
      </c>
    </row>
    <row r="8495" spans="1:1" x14ac:dyDescent="0.2">
      <c r="A8495">
        <v>0</v>
      </c>
    </row>
    <row r="8496" spans="1:1" x14ac:dyDescent="0.2">
      <c r="A8496">
        <v>0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0</v>
      </c>
    </row>
    <row r="8515" spans="1:1" x14ac:dyDescent="0.2">
      <c r="A8515">
        <v>0</v>
      </c>
    </row>
    <row r="8516" spans="1:1" x14ac:dyDescent="0.2">
      <c r="A8516">
        <v>0</v>
      </c>
    </row>
    <row r="8517" spans="1:1" x14ac:dyDescent="0.2">
      <c r="A8517">
        <v>0</v>
      </c>
    </row>
    <row r="8518" spans="1:1" x14ac:dyDescent="0.2">
      <c r="A8518">
        <v>0</v>
      </c>
    </row>
    <row r="8519" spans="1:1" x14ac:dyDescent="0.2">
      <c r="A8519">
        <v>0</v>
      </c>
    </row>
    <row r="8520" spans="1:1" x14ac:dyDescent="0.2">
      <c r="A8520">
        <v>0</v>
      </c>
    </row>
    <row r="8521" spans="1:1" x14ac:dyDescent="0.2">
      <c r="A8521">
        <v>0</v>
      </c>
    </row>
    <row r="8522" spans="1:1" x14ac:dyDescent="0.2">
      <c r="A8522">
        <v>0</v>
      </c>
    </row>
    <row r="8523" spans="1:1" x14ac:dyDescent="0.2">
      <c r="A8523">
        <v>0</v>
      </c>
    </row>
    <row r="8524" spans="1:1" x14ac:dyDescent="0.2">
      <c r="A8524">
        <v>0</v>
      </c>
    </row>
    <row r="8525" spans="1:1" x14ac:dyDescent="0.2">
      <c r="A8525">
        <v>0</v>
      </c>
    </row>
    <row r="8526" spans="1:1" x14ac:dyDescent="0.2">
      <c r="A8526">
        <v>0</v>
      </c>
    </row>
    <row r="8527" spans="1:1" x14ac:dyDescent="0.2">
      <c r="A8527">
        <v>0</v>
      </c>
    </row>
    <row r="8528" spans="1:1" x14ac:dyDescent="0.2">
      <c r="A8528">
        <v>0</v>
      </c>
    </row>
    <row r="8529" spans="1:1" x14ac:dyDescent="0.2">
      <c r="A8529">
        <v>0</v>
      </c>
    </row>
    <row r="8530" spans="1:1" x14ac:dyDescent="0.2">
      <c r="A8530">
        <v>0</v>
      </c>
    </row>
    <row r="8531" spans="1:1" x14ac:dyDescent="0.2">
      <c r="A8531">
        <v>0</v>
      </c>
    </row>
    <row r="8532" spans="1:1" x14ac:dyDescent="0.2">
      <c r="A8532">
        <v>0</v>
      </c>
    </row>
    <row r="8533" spans="1:1" x14ac:dyDescent="0.2">
      <c r="A8533">
        <v>0</v>
      </c>
    </row>
    <row r="8534" spans="1:1" x14ac:dyDescent="0.2">
      <c r="A8534">
        <v>0</v>
      </c>
    </row>
    <row r="8535" spans="1:1" x14ac:dyDescent="0.2">
      <c r="A8535">
        <v>0</v>
      </c>
    </row>
    <row r="8536" spans="1:1" x14ac:dyDescent="0.2">
      <c r="A8536">
        <v>0</v>
      </c>
    </row>
    <row r="8537" spans="1:1" x14ac:dyDescent="0.2">
      <c r="A8537">
        <v>0</v>
      </c>
    </row>
    <row r="8538" spans="1:1" x14ac:dyDescent="0.2">
      <c r="A8538">
        <v>0</v>
      </c>
    </row>
    <row r="8539" spans="1:1" x14ac:dyDescent="0.2">
      <c r="A8539">
        <v>0</v>
      </c>
    </row>
    <row r="8540" spans="1:1" x14ac:dyDescent="0.2">
      <c r="A8540">
        <v>0</v>
      </c>
    </row>
    <row r="8541" spans="1:1" x14ac:dyDescent="0.2">
      <c r="A8541">
        <v>0</v>
      </c>
    </row>
    <row r="8542" spans="1:1" x14ac:dyDescent="0.2">
      <c r="A8542">
        <v>0</v>
      </c>
    </row>
    <row r="8543" spans="1:1" x14ac:dyDescent="0.2">
      <c r="A8543">
        <v>0</v>
      </c>
    </row>
    <row r="8544" spans="1:1" x14ac:dyDescent="0.2">
      <c r="A8544">
        <v>0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0</v>
      </c>
    </row>
    <row r="8563" spans="1:1" x14ac:dyDescent="0.2">
      <c r="A8563">
        <v>0</v>
      </c>
    </row>
    <row r="8564" spans="1:1" x14ac:dyDescent="0.2">
      <c r="A8564">
        <v>0</v>
      </c>
    </row>
    <row r="8565" spans="1:1" x14ac:dyDescent="0.2">
      <c r="A8565">
        <v>0</v>
      </c>
    </row>
    <row r="8566" spans="1:1" x14ac:dyDescent="0.2">
      <c r="A8566">
        <v>0</v>
      </c>
    </row>
    <row r="8567" spans="1:1" x14ac:dyDescent="0.2">
      <c r="A8567">
        <v>0</v>
      </c>
    </row>
    <row r="8568" spans="1:1" x14ac:dyDescent="0.2">
      <c r="A8568">
        <v>0</v>
      </c>
    </row>
    <row r="8569" spans="1:1" x14ac:dyDescent="0.2">
      <c r="A8569">
        <v>0</v>
      </c>
    </row>
    <row r="8570" spans="1:1" x14ac:dyDescent="0.2">
      <c r="A8570">
        <v>0</v>
      </c>
    </row>
    <row r="8571" spans="1:1" x14ac:dyDescent="0.2">
      <c r="A8571">
        <v>0</v>
      </c>
    </row>
    <row r="8572" spans="1:1" x14ac:dyDescent="0.2">
      <c r="A8572">
        <v>0</v>
      </c>
    </row>
    <row r="8573" spans="1:1" x14ac:dyDescent="0.2">
      <c r="A8573">
        <v>0</v>
      </c>
    </row>
    <row r="8574" spans="1:1" x14ac:dyDescent="0.2">
      <c r="A8574">
        <v>0</v>
      </c>
    </row>
    <row r="8575" spans="1:1" x14ac:dyDescent="0.2">
      <c r="A8575">
        <v>0</v>
      </c>
    </row>
    <row r="8576" spans="1:1" x14ac:dyDescent="0.2">
      <c r="A8576">
        <v>0</v>
      </c>
    </row>
    <row r="8577" spans="1:1" x14ac:dyDescent="0.2">
      <c r="A8577">
        <v>0</v>
      </c>
    </row>
    <row r="8578" spans="1:1" x14ac:dyDescent="0.2">
      <c r="A8578">
        <v>0</v>
      </c>
    </row>
    <row r="8579" spans="1:1" x14ac:dyDescent="0.2">
      <c r="A8579">
        <v>0</v>
      </c>
    </row>
    <row r="8580" spans="1:1" x14ac:dyDescent="0.2">
      <c r="A8580">
        <v>0</v>
      </c>
    </row>
    <row r="8581" spans="1:1" x14ac:dyDescent="0.2">
      <c r="A8581">
        <v>0</v>
      </c>
    </row>
    <row r="8582" spans="1:1" x14ac:dyDescent="0.2">
      <c r="A8582">
        <v>0</v>
      </c>
    </row>
    <row r="8583" spans="1:1" x14ac:dyDescent="0.2">
      <c r="A8583">
        <v>0</v>
      </c>
    </row>
    <row r="8584" spans="1:1" x14ac:dyDescent="0.2">
      <c r="A8584">
        <v>0</v>
      </c>
    </row>
    <row r="8585" spans="1:1" x14ac:dyDescent="0.2">
      <c r="A8585">
        <v>0</v>
      </c>
    </row>
    <row r="8586" spans="1:1" x14ac:dyDescent="0.2">
      <c r="A8586">
        <v>0</v>
      </c>
    </row>
    <row r="8587" spans="1:1" x14ac:dyDescent="0.2">
      <c r="A8587">
        <v>0</v>
      </c>
    </row>
    <row r="8588" spans="1:1" x14ac:dyDescent="0.2">
      <c r="A8588">
        <v>0</v>
      </c>
    </row>
    <row r="8589" spans="1:1" x14ac:dyDescent="0.2">
      <c r="A8589">
        <v>0</v>
      </c>
    </row>
    <row r="8590" spans="1:1" x14ac:dyDescent="0.2">
      <c r="A8590">
        <v>0</v>
      </c>
    </row>
    <row r="8591" spans="1:1" x14ac:dyDescent="0.2">
      <c r="A8591">
        <v>0</v>
      </c>
    </row>
    <row r="8592" spans="1:1" x14ac:dyDescent="0.2">
      <c r="A8592">
        <v>0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0</v>
      </c>
    </row>
    <row r="8611" spans="1:1" x14ac:dyDescent="0.2">
      <c r="A8611">
        <v>0</v>
      </c>
    </row>
    <row r="8612" spans="1:1" x14ac:dyDescent="0.2">
      <c r="A8612">
        <v>0</v>
      </c>
    </row>
    <row r="8613" spans="1:1" x14ac:dyDescent="0.2">
      <c r="A8613">
        <v>0</v>
      </c>
    </row>
    <row r="8614" spans="1:1" x14ac:dyDescent="0.2">
      <c r="A8614">
        <v>0</v>
      </c>
    </row>
    <row r="8615" spans="1:1" x14ac:dyDescent="0.2">
      <c r="A8615">
        <v>0</v>
      </c>
    </row>
    <row r="8616" spans="1:1" x14ac:dyDescent="0.2">
      <c r="A8616">
        <v>0</v>
      </c>
    </row>
    <row r="8617" spans="1:1" x14ac:dyDescent="0.2">
      <c r="A8617">
        <v>0</v>
      </c>
    </row>
    <row r="8618" spans="1:1" x14ac:dyDescent="0.2">
      <c r="A8618">
        <v>0</v>
      </c>
    </row>
    <row r="8619" spans="1:1" x14ac:dyDescent="0.2">
      <c r="A8619">
        <v>0</v>
      </c>
    </row>
    <row r="8620" spans="1:1" x14ac:dyDescent="0.2">
      <c r="A8620">
        <v>0</v>
      </c>
    </row>
    <row r="8621" spans="1:1" x14ac:dyDescent="0.2">
      <c r="A8621">
        <v>0</v>
      </c>
    </row>
    <row r="8622" spans="1:1" x14ac:dyDescent="0.2">
      <c r="A8622">
        <v>0</v>
      </c>
    </row>
    <row r="8623" spans="1:1" x14ac:dyDescent="0.2">
      <c r="A8623">
        <v>0</v>
      </c>
    </row>
    <row r="8624" spans="1:1" x14ac:dyDescent="0.2">
      <c r="A8624">
        <v>0</v>
      </c>
    </row>
    <row r="8625" spans="1:1" x14ac:dyDescent="0.2">
      <c r="A8625">
        <v>0</v>
      </c>
    </row>
    <row r="8626" spans="1:1" x14ac:dyDescent="0.2">
      <c r="A8626">
        <v>0</v>
      </c>
    </row>
    <row r="8627" spans="1:1" x14ac:dyDescent="0.2">
      <c r="A8627">
        <v>0</v>
      </c>
    </row>
    <row r="8628" spans="1:1" x14ac:dyDescent="0.2">
      <c r="A8628">
        <v>0</v>
      </c>
    </row>
    <row r="8629" spans="1:1" x14ac:dyDescent="0.2">
      <c r="A8629">
        <v>0</v>
      </c>
    </row>
    <row r="8630" spans="1:1" x14ac:dyDescent="0.2">
      <c r="A8630">
        <v>0</v>
      </c>
    </row>
    <row r="8631" spans="1:1" x14ac:dyDescent="0.2">
      <c r="A8631">
        <v>0</v>
      </c>
    </row>
    <row r="8632" spans="1:1" x14ac:dyDescent="0.2">
      <c r="A8632">
        <v>0</v>
      </c>
    </row>
    <row r="8633" spans="1:1" x14ac:dyDescent="0.2">
      <c r="A8633">
        <v>0</v>
      </c>
    </row>
    <row r="8634" spans="1:1" x14ac:dyDescent="0.2">
      <c r="A8634">
        <v>0</v>
      </c>
    </row>
    <row r="8635" spans="1:1" x14ac:dyDescent="0.2">
      <c r="A8635">
        <v>0</v>
      </c>
    </row>
    <row r="8636" spans="1:1" x14ac:dyDescent="0.2">
      <c r="A8636">
        <v>0</v>
      </c>
    </row>
    <row r="8637" spans="1:1" x14ac:dyDescent="0.2">
      <c r="A8637">
        <v>0</v>
      </c>
    </row>
    <row r="8638" spans="1:1" x14ac:dyDescent="0.2">
      <c r="A8638">
        <v>0</v>
      </c>
    </row>
    <row r="8639" spans="1:1" x14ac:dyDescent="0.2">
      <c r="A8639">
        <v>0</v>
      </c>
    </row>
    <row r="8640" spans="1:1" x14ac:dyDescent="0.2">
      <c r="A8640">
        <v>0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0</v>
      </c>
    </row>
    <row r="8659" spans="1:1" x14ac:dyDescent="0.2">
      <c r="A8659">
        <v>0</v>
      </c>
    </row>
    <row r="8660" spans="1:1" x14ac:dyDescent="0.2">
      <c r="A8660">
        <v>0</v>
      </c>
    </row>
    <row r="8661" spans="1:1" x14ac:dyDescent="0.2">
      <c r="A8661">
        <v>0</v>
      </c>
    </row>
    <row r="8662" spans="1:1" x14ac:dyDescent="0.2">
      <c r="A8662">
        <v>0</v>
      </c>
    </row>
    <row r="8663" spans="1:1" x14ac:dyDescent="0.2">
      <c r="A8663">
        <v>0</v>
      </c>
    </row>
    <row r="8664" spans="1:1" x14ac:dyDescent="0.2">
      <c r="A8664">
        <v>0</v>
      </c>
    </row>
    <row r="8665" spans="1:1" x14ac:dyDescent="0.2">
      <c r="A8665">
        <v>0</v>
      </c>
    </row>
    <row r="8666" spans="1:1" x14ac:dyDescent="0.2">
      <c r="A8666">
        <v>0</v>
      </c>
    </row>
    <row r="8667" spans="1:1" x14ac:dyDescent="0.2">
      <c r="A8667">
        <v>0</v>
      </c>
    </row>
    <row r="8668" spans="1:1" x14ac:dyDescent="0.2">
      <c r="A8668">
        <v>0</v>
      </c>
    </row>
    <row r="8669" spans="1:1" x14ac:dyDescent="0.2">
      <c r="A8669">
        <v>0</v>
      </c>
    </row>
    <row r="8670" spans="1:1" x14ac:dyDescent="0.2">
      <c r="A8670">
        <v>0</v>
      </c>
    </row>
    <row r="8671" spans="1:1" x14ac:dyDescent="0.2">
      <c r="A8671">
        <v>0</v>
      </c>
    </row>
    <row r="8672" spans="1:1" x14ac:dyDescent="0.2">
      <c r="A8672">
        <v>0</v>
      </c>
    </row>
    <row r="8673" spans="1:1" x14ac:dyDescent="0.2">
      <c r="A8673">
        <v>0</v>
      </c>
    </row>
    <row r="8674" spans="1:1" x14ac:dyDescent="0.2">
      <c r="A8674">
        <v>0</v>
      </c>
    </row>
    <row r="8675" spans="1:1" x14ac:dyDescent="0.2">
      <c r="A8675">
        <v>0</v>
      </c>
    </row>
    <row r="8676" spans="1:1" x14ac:dyDescent="0.2">
      <c r="A8676">
        <v>0</v>
      </c>
    </row>
    <row r="8677" spans="1:1" x14ac:dyDescent="0.2">
      <c r="A8677">
        <v>0</v>
      </c>
    </row>
    <row r="8678" spans="1:1" x14ac:dyDescent="0.2">
      <c r="A8678">
        <v>0</v>
      </c>
    </row>
    <row r="8679" spans="1:1" x14ac:dyDescent="0.2">
      <c r="A8679">
        <v>0</v>
      </c>
    </row>
    <row r="8680" spans="1:1" x14ac:dyDescent="0.2">
      <c r="A8680">
        <v>0</v>
      </c>
    </row>
    <row r="8681" spans="1:1" x14ac:dyDescent="0.2">
      <c r="A8681">
        <v>0</v>
      </c>
    </row>
    <row r="8682" spans="1:1" x14ac:dyDescent="0.2">
      <c r="A8682">
        <v>0</v>
      </c>
    </row>
    <row r="8683" spans="1:1" x14ac:dyDescent="0.2">
      <c r="A8683">
        <v>0</v>
      </c>
    </row>
    <row r="8684" spans="1:1" x14ac:dyDescent="0.2">
      <c r="A8684">
        <v>0</v>
      </c>
    </row>
    <row r="8685" spans="1:1" x14ac:dyDescent="0.2">
      <c r="A8685">
        <v>0</v>
      </c>
    </row>
    <row r="8686" spans="1:1" x14ac:dyDescent="0.2">
      <c r="A8686">
        <v>0</v>
      </c>
    </row>
    <row r="8687" spans="1:1" x14ac:dyDescent="0.2">
      <c r="A8687">
        <v>0</v>
      </c>
    </row>
    <row r="8688" spans="1:1" x14ac:dyDescent="0.2">
      <c r="A8688">
        <v>0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0</v>
      </c>
    </row>
    <row r="8707" spans="1:1" x14ac:dyDescent="0.2">
      <c r="A8707">
        <v>0</v>
      </c>
    </row>
    <row r="8708" spans="1:1" x14ac:dyDescent="0.2">
      <c r="A8708">
        <v>0</v>
      </c>
    </row>
    <row r="8709" spans="1:1" x14ac:dyDescent="0.2">
      <c r="A8709">
        <v>0</v>
      </c>
    </row>
    <row r="8710" spans="1:1" x14ac:dyDescent="0.2">
      <c r="A8710">
        <v>0</v>
      </c>
    </row>
    <row r="8711" spans="1:1" x14ac:dyDescent="0.2">
      <c r="A8711">
        <v>0</v>
      </c>
    </row>
    <row r="8712" spans="1:1" x14ac:dyDescent="0.2">
      <c r="A8712">
        <v>0</v>
      </c>
    </row>
    <row r="8713" spans="1:1" x14ac:dyDescent="0.2">
      <c r="A8713">
        <v>0</v>
      </c>
    </row>
    <row r="8714" spans="1:1" x14ac:dyDescent="0.2">
      <c r="A8714">
        <v>0</v>
      </c>
    </row>
    <row r="8715" spans="1:1" x14ac:dyDescent="0.2">
      <c r="A8715">
        <v>0</v>
      </c>
    </row>
    <row r="8716" spans="1:1" x14ac:dyDescent="0.2">
      <c r="A8716">
        <v>0</v>
      </c>
    </row>
    <row r="8717" spans="1:1" x14ac:dyDescent="0.2">
      <c r="A8717">
        <v>0</v>
      </c>
    </row>
    <row r="8718" spans="1:1" x14ac:dyDescent="0.2">
      <c r="A8718">
        <v>0</v>
      </c>
    </row>
    <row r="8719" spans="1:1" x14ac:dyDescent="0.2">
      <c r="A8719">
        <v>0</v>
      </c>
    </row>
    <row r="8720" spans="1:1" x14ac:dyDescent="0.2">
      <c r="A8720">
        <v>0</v>
      </c>
    </row>
    <row r="8721" spans="1:1" x14ac:dyDescent="0.2">
      <c r="A8721">
        <v>0</v>
      </c>
    </row>
    <row r="8722" spans="1:1" x14ac:dyDescent="0.2">
      <c r="A8722">
        <v>0</v>
      </c>
    </row>
    <row r="8723" spans="1:1" x14ac:dyDescent="0.2">
      <c r="A8723">
        <v>0</v>
      </c>
    </row>
    <row r="8724" spans="1:1" x14ac:dyDescent="0.2">
      <c r="A8724">
        <v>0</v>
      </c>
    </row>
    <row r="8725" spans="1:1" x14ac:dyDescent="0.2">
      <c r="A8725">
        <v>0</v>
      </c>
    </row>
    <row r="8726" spans="1:1" x14ac:dyDescent="0.2">
      <c r="A8726">
        <v>0</v>
      </c>
    </row>
    <row r="8727" spans="1:1" x14ac:dyDescent="0.2">
      <c r="A8727">
        <v>0</v>
      </c>
    </row>
    <row r="8728" spans="1:1" x14ac:dyDescent="0.2">
      <c r="A8728">
        <v>0</v>
      </c>
    </row>
    <row r="8729" spans="1:1" x14ac:dyDescent="0.2">
      <c r="A8729">
        <v>0</v>
      </c>
    </row>
    <row r="8730" spans="1:1" x14ac:dyDescent="0.2">
      <c r="A8730">
        <v>0</v>
      </c>
    </row>
    <row r="8731" spans="1:1" x14ac:dyDescent="0.2">
      <c r="A8731">
        <v>0</v>
      </c>
    </row>
    <row r="8732" spans="1:1" x14ac:dyDescent="0.2">
      <c r="A8732">
        <v>0</v>
      </c>
    </row>
    <row r="8733" spans="1:1" x14ac:dyDescent="0.2">
      <c r="A8733">
        <v>0</v>
      </c>
    </row>
    <row r="8734" spans="1:1" x14ac:dyDescent="0.2">
      <c r="A8734">
        <v>0</v>
      </c>
    </row>
    <row r="8735" spans="1:1" x14ac:dyDescent="0.2">
      <c r="A8735">
        <v>0</v>
      </c>
    </row>
    <row r="8736" spans="1:1" x14ac:dyDescent="0.2">
      <c r="A8736">
        <v>0</v>
      </c>
    </row>
    <row r="8737" spans="1:1" x14ac:dyDescent="0.2">
      <c r="A8737">
        <v>0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0</v>
      </c>
    </row>
    <row r="8755" spans="1:1" x14ac:dyDescent="0.2">
      <c r="A8755">
        <v>0</v>
      </c>
    </row>
    <row r="8756" spans="1:1" x14ac:dyDescent="0.2">
      <c r="A8756">
        <v>0</v>
      </c>
    </row>
    <row r="8757" spans="1:1" x14ac:dyDescent="0.2">
      <c r="A8757">
        <v>0</v>
      </c>
    </row>
    <row r="8758" spans="1:1" x14ac:dyDescent="0.2">
      <c r="A8758">
        <v>0</v>
      </c>
    </row>
    <row r="8759" spans="1:1" x14ac:dyDescent="0.2">
      <c r="A8759">
        <v>0</v>
      </c>
    </row>
    <row r="8760" spans="1:1" x14ac:dyDescent="0.2">
      <c r="A8760">
        <v>0</v>
      </c>
    </row>
    <row r="8761" spans="1:1" x14ac:dyDescent="0.2">
      <c r="A8761">
        <v>0</v>
      </c>
    </row>
    <row r="8762" spans="1:1" x14ac:dyDescent="0.2">
      <c r="A8762">
        <v>0</v>
      </c>
    </row>
    <row r="8763" spans="1:1" x14ac:dyDescent="0.2">
      <c r="A8763">
        <v>0</v>
      </c>
    </row>
    <row r="8764" spans="1:1" x14ac:dyDescent="0.2">
      <c r="A8764">
        <v>0</v>
      </c>
    </row>
    <row r="8765" spans="1:1" x14ac:dyDescent="0.2">
      <c r="A8765">
        <v>0</v>
      </c>
    </row>
    <row r="8766" spans="1:1" x14ac:dyDescent="0.2">
      <c r="A8766">
        <v>0</v>
      </c>
    </row>
    <row r="8767" spans="1:1" x14ac:dyDescent="0.2">
      <c r="A8767">
        <v>0</v>
      </c>
    </row>
    <row r="8768" spans="1:1" x14ac:dyDescent="0.2">
      <c r="A8768">
        <v>0</v>
      </c>
    </row>
    <row r="8769" spans="1:1" x14ac:dyDescent="0.2">
      <c r="A8769">
        <v>0</v>
      </c>
    </row>
    <row r="8770" spans="1:1" x14ac:dyDescent="0.2">
      <c r="A8770">
        <v>0</v>
      </c>
    </row>
    <row r="8771" spans="1:1" x14ac:dyDescent="0.2">
      <c r="A8771">
        <v>0</v>
      </c>
    </row>
    <row r="8772" spans="1:1" x14ac:dyDescent="0.2">
      <c r="A8772">
        <v>0</v>
      </c>
    </row>
    <row r="8773" spans="1:1" x14ac:dyDescent="0.2">
      <c r="A8773">
        <v>0</v>
      </c>
    </row>
    <row r="8774" spans="1:1" x14ac:dyDescent="0.2">
      <c r="A8774">
        <v>0</v>
      </c>
    </row>
    <row r="8775" spans="1:1" x14ac:dyDescent="0.2">
      <c r="A8775">
        <v>0</v>
      </c>
    </row>
    <row r="8776" spans="1:1" x14ac:dyDescent="0.2">
      <c r="A8776">
        <v>0</v>
      </c>
    </row>
    <row r="8777" spans="1:1" x14ac:dyDescent="0.2">
      <c r="A8777">
        <v>0</v>
      </c>
    </row>
    <row r="8778" spans="1:1" x14ac:dyDescent="0.2">
      <c r="A8778">
        <v>0</v>
      </c>
    </row>
    <row r="8779" spans="1:1" x14ac:dyDescent="0.2">
      <c r="A8779">
        <v>0</v>
      </c>
    </row>
    <row r="8780" spans="1:1" x14ac:dyDescent="0.2">
      <c r="A8780">
        <v>0</v>
      </c>
    </row>
    <row r="8781" spans="1:1" x14ac:dyDescent="0.2">
      <c r="A8781">
        <v>0</v>
      </c>
    </row>
    <row r="8782" spans="1:1" x14ac:dyDescent="0.2">
      <c r="A8782">
        <v>0</v>
      </c>
    </row>
    <row r="8783" spans="1:1" x14ac:dyDescent="0.2">
      <c r="A8783">
        <v>0</v>
      </c>
    </row>
    <row r="8784" spans="1:1" x14ac:dyDescent="0.2">
      <c r="A8784">
        <v>0</v>
      </c>
    </row>
    <row r="8785" spans="1:1" x14ac:dyDescent="0.2">
      <c r="A8785">
        <v>0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0</v>
      </c>
    </row>
    <row r="8803" spans="1:1" x14ac:dyDescent="0.2">
      <c r="A8803">
        <v>0</v>
      </c>
    </row>
    <row r="8804" spans="1:1" x14ac:dyDescent="0.2">
      <c r="A8804">
        <v>0</v>
      </c>
    </row>
    <row r="8805" spans="1:1" x14ac:dyDescent="0.2">
      <c r="A8805">
        <v>0</v>
      </c>
    </row>
    <row r="8806" spans="1:1" x14ac:dyDescent="0.2">
      <c r="A8806">
        <v>0</v>
      </c>
    </row>
    <row r="8807" spans="1:1" x14ac:dyDescent="0.2">
      <c r="A8807">
        <v>0</v>
      </c>
    </row>
    <row r="8808" spans="1:1" x14ac:dyDescent="0.2">
      <c r="A8808">
        <v>0</v>
      </c>
    </row>
    <row r="8809" spans="1:1" x14ac:dyDescent="0.2">
      <c r="A8809">
        <v>0</v>
      </c>
    </row>
    <row r="8810" spans="1:1" x14ac:dyDescent="0.2">
      <c r="A8810">
        <v>0</v>
      </c>
    </row>
    <row r="8811" spans="1:1" x14ac:dyDescent="0.2">
      <c r="A8811">
        <v>0</v>
      </c>
    </row>
    <row r="8812" spans="1:1" x14ac:dyDescent="0.2">
      <c r="A8812">
        <v>0</v>
      </c>
    </row>
    <row r="8813" spans="1:1" x14ac:dyDescent="0.2">
      <c r="A8813">
        <v>0</v>
      </c>
    </row>
    <row r="8814" spans="1:1" x14ac:dyDescent="0.2">
      <c r="A8814">
        <v>0</v>
      </c>
    </row>
    <row r="8815" spans="1:1" x14ac:dyDescent="0.2">
      <c r="A8815">
        <v>0</v>
      </c>
    </row>
    <row r="8816" spans="1:1" x14ac:dyDescent="0.2">
      <c r="A8816">
        <v>0</v>
      </c>
    </row>
    <row r="8817" spans="1:1" x14ac:dyDescent="0.2">
      <c r="A8817">
        <v>0</v>
      </c>
    </row>
    <row r="8818" spans="1:1" x14ac:dyDescent="0.2">
      <c r="A8818">
        <v>0</v>
      </c>
    </row>
    <row r="8819" spans="1:1" x14ac:dyDescent="0.2">
      <c r="A8819">
        <v>0</v>
      </c>
    </row>
    <row r="8820" spans="1:1" x14ac:dyDescent="0.2">
      <c r="A8820">
        <v>0</v>
      </c>
    </row>
    <row r="8821" spans="1:1" x14ac:dyDescent="0.2">
      <c r="A8821">
        <v>0</v>
      </c>
    </row>
    <row r="8822" spans="1:1" x14ac:dyDescent="0.2">
      <c r="A8822">
        <v>0</v>
      </c>
    </row>
    <row r="8823" spans="1:1" x14ac:dyDescent="0.2">
      <c r="A8823">
        <v>0</v>
      </c>
    </row>
    <row r="8824" spans="1:1" x14ac:dyDescent="0.2">
      <c r="A8824">
        <v>0</v>
      </c>
    </row>
    <row r="8825" spans="1:1" x14ac:dyDescent="0.2">
      <c r="A8825">
        <v>0</v>
      </c>
    </row>
    <row r="8826" spans="1:1" x14ac:dyDescent="0.2">
      <c r="A8826">
        <v>0</v>
      </c>
    </row>
    <row r="8827" spans="1:1" x14ac:dyDescent="0.2">
      <c r="A8827">
        <v>0</v>
      </c>
    </row>
    <row r="8828" spans="1:1" x14ac:dyDescent="0.2">
      <c r="A8828">
        <v>0</v>
      </c>
    </row>
    <row r="8829" spans="1:1" x14ac:dyDescent="0.2">
      <c r="A8829">
        <v>0</v>
      </c>
    </row>
    <row r="8830" spans="1:1" x14ac:dyDescent="0.2">
      <c r="A8830">
        <v>0</v>
      </c>
    </row>
    <row r="8831" spans="1:1" x14ac:dyDescent="0.2">
      <c r="A8831">
        <v>0</v>
      </c>
    </row>
    <row r="8832" spans="1:1" x14ac:dyDescent="0.2">
      <c r="A8832">
        <v>0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0</v>
      </c>
    </row>
    <row r="8851" spans="1:1" x14ac:dyDescent="0.2">
      <c r="A8851">
        <v>0</v>
      </c>
    </row>
    <row r="8852" spans="1:1" x14ac:dyDescent="0.2">
      <c r="A8852">
        <v>0</v>
      </c>
    </row>
    <row r="8853" spans="1:1" x14ac:dyDescent="0.2">
      <c r="A8853">
        <v>0</v>
      </c>
    </row>
    <row r="8854" spans="1:1" x14ac:dyDescent="0.2">
      <c r="A8854">
        <v>0</v>
      </c>
    </row>
    <row r="8855" spans="1:1" x14ac:dyDescent="0.2">
      <c r="A8855">
        <v>0</v>
      </c>
    </row>
    <row r="8856" spans="1:1" x14ac:dyDescent="0.2">
      <c r="A8856">
        <v>0</v>
      </c>
    </row>
    <row r="8857" spans="1:1" x14ac:dyDescent="0.2">
      <c r="A8857">
        <v>0</v>
      </c>
    </row>
    <row r="8858" spans="1:1" x14ac:dyDescent="0.2">
      <c r="A8858">
        <v>0</v>
      </c>
    </row>
    <row r="8859" spans="1:1" x14ac:dyDescent="0.2">
      <c r="A8859">
        <v>0</v>
      </c>
    </row>
    <row r="8860" spans="1:1" x14ac:dyDescent="0.2">
      <c r="A8860">
        <v>0</v>
      </c>
    </row>
    <row r="8861" spans="1:1" x14ac:dyDescent="0.2">
      <c r="A8861">
        <v>0</v>
      </c>
    </row>
    <row r="8862" spans="1:1" x14ac:dyDescent="0.2">
      <c r="A8862">
        <v>0</v>
      </c>
    </row>
    <row r="8863" spans="1:1" x14ac:dyDescent="0.2">
      <c r="A8863">
        <v>0</v>
      </c>
    </row>
    <row r="8864" spans="1:1" x14ac:dyDescent="0.2">
      <c r="A8864">
        <v>0</v>
      </c>
    </row>
    <row r="8865" spans="1:1" x14ac:dyDescent="0.2">
      <c r="A8865">
        <v>0</v>
      </c>
    </row>
    <row r="8866" spans="1:1" x14ac:dyDescent="0.2">
      <c r="A8866">
        <v>0</v>
      </c>
    </row>
    <row r="8867" spans="1:1" x14ac:dyDescent="0.2">
      <c r="A8867">
        <v>0</v>
      </c>
    </row>
    <row r="8868" spans="1:1" x14ac:dyDescent="0.2">
      <c r="A8868">
        <v>0</v>
      </c>
    </row>
    <row r="8869" spans="1:1" x14ac:dyDescent="0.2">
      <c r="A8869">
        <v>0</v>
      </c>
    </row>
    <row r="8870" spans="1:1" x14ac:dyDescent="0.2">
      <c r="A8870">
        <v>0</v>
      </c>
    </row>
    <row r="8871" spans="1:1" x14ac:dyDescent="0.2">
      <c r="A8871">
        <v>0</v>
      </c>
    </row>
    <row r="8872" spans="1:1" x14ac:dyDescent="0.2">
      <c r="A8872">
        <v>0</v>
      </c>
    </row>
    <row r="8873" spans="1:1" x14ac:dyDescent="0.2">
      <c r="A8873">
        <v>0</v>
      </c>
    </row>
    <row r="8874" spans="1:1" x14ac:dyDescent="0.2">
      <c r="A8874">
        <v>0</v>
      </c>
    </row>
    <row r="8875" spans="1:1" x14ac:dyDescent="0.2">
      <c r="A8875">
        <v>0</v>
      </c>
    </row>
    <row r="8876" spans="1:1" x14ac:dyDescent="0.2">
      <c r="A8876">
        <v>0</v>
      </c>
    </row>
    <row r="8877" spans="1:1" x14ac:dyDescent="0.2">
      <c r="A8877">
        <v>0</v>
      </c>
    </row>
    <row r="8878" spans="1:1" x14ac:dyDescent="0.2">
      <c r="A8878">
        <v>0</v>
      </c>
    </row>
    <row r="8879" spans="1:1" x14ac:dyDescent="0.2">
      <c r="A8879">
        <v>0</v>
      </c>
    </row>
    <row r="8880" spans="1:1" x14ac:dyDescent="0.2">
      <c r="A8880">
        <v>0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0</v>
      </c>
    </row>
    <row r="8899" spans="1:1" x14ac:dyDescent="0.2">
      <c r="A8899">
        <v>0</v>
      </c>
    </row>
    <row r="8900" spans="1:1" x14ac:dyDescent="0.2">
      <c r="A8900">
        <v>0</v>
      </c>
    </row>
    <row r="8901" spans="1:1" x14ac:dyDescent="0.2">
      <c r="A8901">
        <v>0</v>
      </c>
    </row>
    <row r="8902" spans="1:1" x14ac:dyDescent="0.2">
      <c r="A8902">
        <v>0</v>
      </c>
    </row>
    <row r="8903" spans="1:1" x14ac:dyDescent="0.2">
      <c r="A8903">
        <v>0</v>
      </c>
    </row>
    <row r="8904" spans="1:1" x14ac:dyDescent="0.2">
      <c r="A8904">
        <v>0</v>
      </c>
    </row>
    <row r="8905" spans="1:1" x14ac:dyDescent="0.2">
      <c r="A8905">
        <v>0</v>
      </c>
    </row>
    <row r="8906" spans="1:1" x14ac:dyDescent="0.2">
      <c r="A8906">
        <v>0</v>
      </c>
    </row>
    <row r="8907" spans="1:1" x14ac:dyDescent="0.2">
      <c r="A8907">
        <v>0</v>
      </c>
    </row>
    <row r="8908" spans="1:1" x14ac:dyDescent="0.2">
      <c r="A8908">
        <v>0</v>
      </c>
    </row>
    <row r="8909" spans="1:1" x14ac:dyDescent="0.2">
      <c r="A8909">
        <v>0</v>
      </c>
    </row>
    <row r="8910" spans="1:1" x14ac:dyDescent="0.2">
      <c r="A8910">
        <v>0</v>
      </c>
    </row>
    <row r="8911" spans="1:1" x14ac:dyDescent="0.2">
      <c r="A8911">
        <v>0</v>
      </c>
    </row>
    <row r="8912" spans="1:1" x14ac:dyDescent="0.2">
      <c r="A8912">
        <v>0</v>
      </c>
    </row>
    <row r="8913" spans="1:1" x14ac:dyDescent="0.2">
      <c r="A8913">
        <v>0</v>
      </c>
    </row>
    <row r="8914" spans="1:1" x14ac:dyDescent="0.2">
      <c r="A8914">
        <v>0</v>
      </c>
    </row>
    <row r="8915" spans="1:1" x14ac:dyDescent="0.2">
      <c r="A8915">
        <v>0</v>
      </c>
    </row>
    <row r="8916" spans="1:1" x14ac:dyDescent="0.2">
      <c r="A8916">
        <v>0</v>
      </c>
    </row>
    <row r="8917" spans="1:1" x14ac:dyDescent="0.2">
      <c r="A8917">
        <v>0</v>
      </c>
    </row>
    <row r="8918" spans="1:1" x14ac:dyDescent="0.2">
      <c r="A8918">
        <v>0</v>
      </c>
    </row>
    <row r="8919" spans="1:1" x14ac:dyDescent="0.2">
      <c r="A8919">
        <v>0</v>
      </c>
    </row>
    <row r="8920" spans="1:1" x14ac:dyDescent="0.2">
      <c r="A8920">
        <v>0</v>
      </c>
    </row>
    <row r="8921" spans="1:1" x14ac:dyDescent="0.2">
      <c r="A8921">
        <v>0</v>
      </c>
    </row>
    <row r="8922" spans="1:1" x14ac:dyDescent="0.2">
      <c r="A8922">
        <v>0</v>
      </c>
    </row>
    <row r="8923" spans="1:1" x14ac:dyDescent="0.2">
      <c r="A8923">
        <v>0</v>
      </c>
    </row>
    <row r="8924" spans="1:1" x14ac:dyDescent="0.2">
      <c r="A8924">
        <v>0</v>
      </c>
    </row>
    <row r="8925" spans="1:1" x14ac:dyDescent="0.2">
      <c r="A8925">
        <v>0</v>
      </c>
    </row>
    <row r="8926" spans="1:1" x14ac:dyDescent="0.2">
      <c r="A8926">
        <v>0</v>
      </c>
    </row>
    <row r="8927" spans="1:1" x14ac:dyDescent="0.2">
      <c r="A8927">
        <v>0</v>
      </c>
    </row>
    <row r="8928" spans="1:1" x14ac:dyDescent="0.2">
      <c r="A8928">
        <v>0</v>
      </c>
    </row>
    <row r="8929" spans="1:1" x14ac:dyDescent="0.2">
      <c r="A8929">
        <v>0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0</v>
      </c>
    </row>
    <row r="8947" spans="1:1" x14ac:dyDescent="0.2">
      <c r="A8947">
        <v>0</v>
      </c>
    </row>
    <row r="8948" spans="1:1" x14ac:dyDescent="0.2">
      <c r="A8948">
        <v>0</v>
      </c>
    </row>
    <row r="8949" spans="1:1" x14ac:dyDescent="0.2">
      <c r="A8949">
        <v>0</v>
      </c>
    </row>
    <row r="8950" spans="1:1" x14ac:dyDescent="0.2">
      <c r="A8950">
        <v>0</v>
      </c>
    </row>
    <row r="8951" spans="1:1" x14ac:dyDescent="0.2">
      <c r="A8951">
        <v>0</v>
      </c>
    </row>
    <row r="8952" spans="1:1" x14ac:dyDescent="0.2">
      <c r="A8952">
        <v>0</v>
      </c>
    </row>
    <row r="8953" spans="1:1" x14ac:dyDescent="0.2">
      <c r="A8953">
        <v>0</v>
      </c>
    </row>
    <row r="8954" spans="1:1" x14ac:dyDescent="0.2">
      <c r="A8954">
        <v>0</v>
      </c>
    </row>
    <row r="8955" spans="1:1" x14ac:dyDescent="0.2">
      <c r="A8955">
        <v>0</v>
      </c>
    </row>
    <row r="8956" spans="1:1" x14ac:dyDescent="0.2">
      <c r="A8956">
        <v>0</v>
      </c>
    </row>
    <row r="8957" spans="1:1" x14ac:dyDescent="0.2">
      <c r="A8957">
        <v>0</v>
      </c>
    </row>
    <row r="8958" spans="1:1" x14ac:dyDescent="0.2">
      <c r="A8958">
        <v>0</v>
      </c>
    </row>
    <row r="8959" spans="1:1" x14ac:dyDescent="0.2">
      <c r="A8959">
        <v>0</v>
      </c>
    </row>
    <row r="8960" spans="1:1" x14ac:dyDescent="0.2">
      <c r="A8960">
        <v>0</v>
      </c>
    </row>
    <row r="8961" spans="1:1" x14ac:dyDescent="0.2">
      <c r="A8961">
        <v>0</v>
      </c>
    </row>
    <row r="8962" spans="1:1" x14ac:dyDescent="0.2">
      <c r="A8962">
        <v>0</v>
      </c>
    </row>
    <row r="8963" spans="1:1" x14ac:dyDescent="0.2">
      <c r="A8963">
        <v>0</v>
      </c>
    </row>
    <row r="8964" spans="1:1" x14ac:dyDescent="0.2">
      <c r="A8964">
        <v>0</v>
      </c>
    </row>
    <row r="8965" spans="1:1" x14ac:dyDescent="0.2">
      <c r="A8965">
        <v>0</v>
      </c>
    </row>
    <row r="8966" spans="1:1" x14ac:dyDescent="0.2">
      <c r="A8966">
        <v>0</v>
      </c>
    </row>
    <row r="8967" spans="1:1" x14ac:dyDescent="0.2">
      <c r="A8967">
        <v>0</v>
      </c>
    </row>
    <row r="8968" spans="1:1" x14ac:dyDescent="0.2">
      <c r="A8968">
        <v>0</v>
      </c>
    </row>
    <row r="8969" spans="1:1" x14ac:dyDescent="0.2">
      <c r="A8969">
        <v>0</v>
      </c>
    </row>
    <row r="8970" spans="1:1" x14ac:dyDescent="0.2">
      <c r="A8970">
        <v>0</v>
      </c>
    </row>
    <row r="8971" spans="1:1" x14ac:dyDescent="0.2">
      <c r="A8971">
        <v>0</v>
      </c>
    </row>
    <row r="8972" spans="1:1" x14ac:dyDescent="0.2">
      <c r="A8972">
        <v>0</v>
      </c>
    </row>
    <row r="8973" spans="1:1" x14ac:dyDescent="0.2">
      <c r="A8973">
        <v>0</v>
      </c>
    </row>
    <row r="8974" spans="1:1" x14ac:dyDescent="0.2">
      <c r="A8974">
        <v>0</v>
      </c>
    </row>
    <row r="8975" spans="1:1" x14ac:dyDescent="0.2">
      <c r="A8975">
        <v>0</v>
      </c>
    </row>
    <row r="8976" spans="1:1" x14ac:dyDescent="0.2">
      <c r="A8976">
        <v>0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0</v>
      </c>
    </row>
    <row r="8995" spans="1:1" x14ac:dyDescent="0.2">
      <c r="A8995">
        <v>0</v>
      </c>
    </row>
    <row r="8996" spans="1:1" x14ac:dyDescent="0.2">
      <c r="A8996">
        <v>0</v>
      </c>
    </row>
    <row r="8997" spans="1:1" x14ac:dyDescent="0.2">
      <c r="A8997">
        <v>0</v>
      </c>
    </row>
    <row r="8998" spans="1:1" x14ac:dyDescent="0.2">
      <c r="A8998">
        <v>0</v>
      </c>
    </row>
    <row r="8999" spans="1:1" x14ac:dyDescent="0.2">
      <c r="A8999">
        <v>0</v>
      </c>
    </row>
    <row r="9000" spans="1:1" x14ac:dyDescent="0.2">
      <c r="A9000">
        <v>0</v>
      </c>
    </row>
    <row r="9001" spans="1:1" x14ac:dyDescent="0.2">
      <c r="A9001">
        <v>0</v>
      </c>
    </row>
    <row r="9002" spans="1:1" x14ac:dyDescent="0.2">
      <c r="A9002">
        <v>0</v>
      </c>
    </row>
    <row r="9003" spans="1:1" x14ac:dyDescent="0.2">
      <c r="A9003">
        <v>0</v>
      </c>
    </row>
    <row r="9004" spans="1:1" x14ac:dyDescent="0.2">
      <c r="A9004">
        <v>0</v>
      </c>
    </row>
    <row r="9005" spans="1:1" x14ac:dyDescent="0.2">
      <c r="A9005">
        <v>0</v>
      </c>
    </row>
    <row r="9006" spans="1:1" x14ac:dyDescent="0.2">
      <c r="A9006">
        <v>0</v>
      </c>
    </row>
    <row r="9007" spans="1:1" x14ac:dyDescent="0.2">
      <c r="A9007">
        <v>0</v>
      </c>
    </row>
    <row r="9008" spans="1:1" x14ac:dyDescent="0.2">
      <c r="A9008">
        <v>0</v>
      </c>
    </row>
    <row r="9009" spans="1:1" x14ac:dyDescent="0.2">
      <c r="A9009">
        <v>0</v>
      </c>
    </row>
    <row r="9010" spans="1:1" x14ac:dyDescent="0.2">
      <c r="A9010">
        <v>0</v>
      </c>
    </row>
    <row r="9011" spans="1:1" x14ac:dyDescent="0.2">
      <c r="A9011">
        <v>0</v>
      </c>
    </row>
    <row r="9012" spans="1:1" x14ac:dyDescent="0.2">
      <c r="A9012">
        <v>0</v>
      </c>
    </row>
    <row r="9013" spans="1:1" x14ac:dyDescent="0.2">
      <c r="A9013">
        <v>0</v>
      </c>
    </row>
    <row r="9014" spans="1:1" x14ac:dyDescent="0.2">
      <c r="A9014">
        <v>0</v>
      </c>
    </row>
    <row r="9015" spans="1:1" x14ac:dyDescent="0.2">
      <c r="A9015">
        <v>0</v>
      </c>
    </row>
    <row r="9016" spans="1:1" x14ac:dyDescent="0.2">
      <c r="A9016">
        <v>0</v>
      </c>
    </row>
    <row r="9017" spans="1:1" x14ac:dyDescent="0.2">
      <c r="A9017">
        <v>0</v>
      </c>
    </row>
    <row r="9018" spans="1:1" x14ac:dyDescent="0.2">
      <c r="A9018">
        <v>0</v>
      </c>
    </row>
    <row r="9019" spans="1:1" x14ac:dyDescent="0.2">
      <c r="A9019">
        <v>0</v>
      </c>
    </row>
    <row r="9020" spans="1:1" x14ac:dyDescent="0.2">
      <c r="A9020">
        <v>0</v>
      </c>
    </row>
    <row r="9021" spans="1:1" x14ac:dyDescent="0.2">
      <c r="A9021">
        <v>0</v>
      </c>
    </row>
    <row r="9022" spans="1:1" x14ac:dyDescent="0.2">
      <c r="A9022">
        <v>0</v>
      </c>
    </row>
    <row r="9023" spans="1:1" x14ac:dyDescent="0.2">
      <c r="A9023">
        <v>0</v>
      </c>
    </row>
    <row r="9024" spans="1:1" x14ac:dyDescent="0.2">
      <c r="A9024">
        <v>0</v>
      </c>
    </row>
    <row r="9025" spans="1:1" x14ac:dyDescent="0.2">
      <c r="A9025">
        <v>0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0</v>
      </c>
    </row>
    <row r="9043" spans="1:1" x14ac:dyDescent="0.2">
      <c r="A9043">
        <v>0</v>
      </c>
    </row>
    <row r="9044" spans="1:1" x14ac:dyDescent="0.2">
      <c r="A9044">
        <v>0</v>
      </c>
    </row>
    <row r="9045" spans="1:1" x14ac:dyDescent="0.2">
      <c r="A9045">
        <v>0</v>
      </c>
    </row>
    <row r="9046" spans="1:1" x14ac:dyDescent="0.2">
      <c r="A9046">
        <v>0</v>
      </c>
    </row>
    <row r="9047" spans="1:1" x14ac:dyDescent="0.2">
      <c r="A9047">
        <v>0</v>
      </c>
    </row>
    <row r="9048" spans="1:1" x14ac:dyDescent="0.2">
      <c r="A9048">
        <v>0</v>
      </c>
    </row>
    <row r="9049" spans="1:1" x14ac:dyDescent="0.2">
      <c r="A9049">
        <v>0</v>
      </c>
    </row>
    <row r="9050" spans="1:1" x14ac:dyDescent="0.2">
      <c r="A9050">
        <v>0</v>
      </c>
    </row>
    <row r="9051" spans="1:1" x14ac:dyDescent="0.2">
      <c r="A9051">
        <v>0</v>
      </c>
    </row>
    <row r="9052" spans="1:1" x14ac:dyDescent="0.2">
      <c r="A9052">
        <v>0</v>
      </c>
    </row>
    <row r="9053" spans="1:1" x14ac:dyDescent="0.2">
      <c r="A9053">
        <v>0</v>
      </c>
    </row>
    <row r="9054" spans="1:1" x14ac:dyDescent="0.2">
      <c r="A9054">
        <v>0</v>
      </c>
    </row>
    <row r="9055" spans="1:1" x14ac:dyDescent="0.2">
      <c r="A9055">
        <v>0</v>
      </c>
    </row>
    <row r="9056" spans="1:1" x14ac:dyDescent="0.2">
      <c r="A9056">
        <v>0</v>
      </c>
    </row>
    <row r="9057" spans="1:1" x14ac:dyDescent="0.2">
      <c r="A9057">
        <v>0</v>
      </c>
    </row>
    <row r="9058" spans="1:1" x14ac:dyDescent="0.2">
      <c r="A9058">
        <v>0</v>
      </c>
    </row>
    <row r="9059" spans="1:1" x14ac:dyDescent="0.2">
      <c r="A9059">
        <v>0</v>
      </c>
    </row>
    <row r="9060" spans="1:1" x14ac:dyDescent="0.2">
      <c r="A9060">
        <v>0</v>
      </c>
    </row>
    <row r="9061" spans="1:1" x14ac:dyDescent="0.2">
      <c r="A9061">
        <v>0</v>
      </c>
    </row>
    <row r="9062" spans="1:1" x14ac:dyDescent="0.2">
      <c r="A9062">
        <v>0</v>
      </c>
    </row>
    <row r="9063" spans="1:1" x14ac:dyDescent="0.2">
      <c r="A9063">
        <v>0</v>
      </c>
    </row>
    <row r="9064" spans="1:1" x14ac:dyDescent="0.2">
      <c r="A9064">
        <v>0</v>
      </c>
    </row>
    <row r="9065" spans="1:1" x14ac:dyDescent="0.2">
      <c r="A9065">
        <v>0</v>
      </c>
    </row>
    <row r="9066" spans="1:1" x14ac:dyDescent="0.2">
      <c r="A9066">
        <v>0</v>
      </c>
    </row>
    <row r="9067" spans="1:1" x14ac:dyDescent="0.2">
      <c r="A9067">
        <v>0</v>
      </c>
    </row>
    <row r="9068" spans="1:1" x14ac:dyDescent="0.2">
      <c r="A9068">
        <v>0</v>
      </c>
    </row>
    <row r="9069" spans="1:1" x14ac:dyDescent="0.2">
      <c r="A9069">
        <v>0</v>
      </c>
    </row>
    <row r="9070" spans="1:1" x14ac:dyDescent="0.2">
      <c r="A9070">
        <v>0</v>
      </c>
    </row>
    <row r="9071" spans="1:1" x14ac:dyDescent="0.2">
      <c r="A9071">
        <v>0</v>
      </c>
    </row>
    <row r="9072" spans="1:1" x14ac:dyDescent="0.2">
      <c r="A9072">
        <v>0</v>
      </c>
    </row>
    <row r="9073" spans="1:1" x14ac:dyDescent="0.2">
      <c r="A9073">
        <v>0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0</v>
      </c>
    </row>
    <row r="9091" spans="1:1" x14ac:dyDescent="0.2">
      <c r="A9091">
        <v>0</v>
      </c>
    </row>
    <row r="9092" spans="1:1" x14ac:dyDescent="0.2">
      <c r="A9092">
        <v>0</v>
      </c>
    </row>
    <row r="9093" spans="1:1" x14ac:dyDescent="0.2">
      <c r="A9093">
        <v>0</v>
      </c>
    </row>
    <row r="9094" spans="1:1" x14ac:dyDescent="0.2">
      <c r="A9094">
        <v>0</v>
      </c>
    </row>
    <row r="9095" spans="1:1" x14ac:dyDescent="0.2">
      <c r="A9095">
        <v>0</v>
      </c>
    </row>
    <row r="9096" spans="1:1" x14ac:dyDescent="0.2">
      <c r="A9096">
        <v>0</v>
      </c>
    </row>
    <row r="9097" spans="1:1" x14ac:dyDescent="0.2">
      <c r="A9097">
        <v>0</v>
      </c>
    </row>
    <row r="9098" spans="1:1" x14ac:dyDescent="0.2">
      <c r="A9098">
        <v>0</v>
      </c>
    </row>
    <row r="9099" spans="1:1" x14ac:dyDescent="0.2">
      <c r="A9099">
        <v>0</v>
      </c>
    </row>
    <row r="9100" spans="1:1" x14ac:dyDescent="0.2">
      <c r="A9100">
        <v>0</v>
      </c>
    </row>
    <row r="9101" spans="1:1" x14ac:dyDescent="0.2">
      <c r="A9101">
        <v>0</v>
      </c>
    </row>
    <row r="9102" spans="1:1" x14ac:dyDescent="0.2">
      <c r="A9102">
        <v>0</v>
      </c>
    </row>
    <row r="9103" spans="1:1" x14ac:dyDescent="0.2">
      <c r="A9103">
        <v>0</v>
      </c>
    </row>
    <row r="9104" spans="1:1" x14ac:dyDescent="0.2">
      <c r="A9104">
        <v>0</v>
      </c>
    </row>
    <row r="9105" spans="1:1" x14ac:dyDescent="0.2">
      <c r="A9105">
        <v>0</v>
      </c>
    </row>
    <row r="9106" spans="1:1" x14ac:dyDescent="0.2">
      <c r="A9106">
        <v>0</v>
      </c>
    </row>
    <row r="9107" spans="1:1" x14ac:dyDescent="0.2">
      <c r="A9107">
        <v>0</v>
      </c>
    </row>
    <row r="9108" spans="1:1" x14ac:dyDescent="0.2">
      <c r="A9108">
        <v>0</v>
      </c>
    </row>
    <row r="9109" spans="1:1" x14ac:dyDescent="0.2">
      <c r="A9109">
        <v>0</v>
      </c>
    </row>
    <row r="9110" spans="1:1" x14ac:dyDescent="0.2">
      <c r="A9110">
        <v>0</v>
      </c>
    </row>
    <row r="9111" spans="1:1" x14ac:dyDescent="0.2">
      <c r="A9111">
        <v>0</v>
      </c>
    </row>
    <row r="9112" spans="1:1" x14ac:dyDescent="0.2">
      <c r="A9112">
        <v>0</v>
      </c>
    </row>
    <row r="9113" spans="1:1" x14ac:dyDescent="0.2">
      <c r="A9113">
        <v>0</v>
      </c>
    </row>
    <row r="9114" spans="1:1" x14ac:dyDescent="0.2">
      <c r="A9114">
        <v>0</v>
      </c>
    </row>
    <row r="9115" spans="1:1" x14ac:dyDescent="0.2">
      <c r="A9115">
        <v>0</v>
      </c>
    </row>
    <row r="9116" spans="1:1" x14ac:dyDescent="0.2">
      <c r="A9116">
        <v>0</v>
      </c>
    </row>
    <row r="9117" spans="1:1" x14ac:dyDescent="0.2">
      <c r="A9117">
        <v>0</v>
      </c>
    </row>
    <row r="9118" spans="1:1" x14ac:dyDescent="0.2">
      <c r="A9118">
        <v>0</v>
      </c>
    </row>
    <row r="9119" spans="1:1" x14ac:dyDescent="0.2">
      <c r="A9119">
        <v>0</v>
      </c>
    </row>
    <row r="9120" spans="1:1" x14ac:dyDescent="0.2">
      <c r="A9120">
        <v>0</v>
      </c>
    </row>
    <row r="9121" spans="1:1" x14ac:dyDescent="0.2">
      <c r="A9121">
        <v>0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0</v>
      </c>
    </row>
    <row r="9139" spans="1:1" x14ac:dyDescent="0.2">
      <c r="A9139">
        <v>0</v>
      </c>
    </row>
    <row r="9140" spans="1:1" x14ac:dyDescent="0.2">
      <c r="A9140">
        <v>0</v>
      </c>
    </row>
    <row r="9141" spans="1:1" x14ac:dyDescent="0.2">
      <c r="A9141">
        <v>0</v>
      </c>
    </row>
    <row r="9142" spans="1:1" x14ac:dyDescent="0.2">
      <c r="A9142">
        <v>0</v>
      </c>
    </row>
    <row r="9143" spans="1:1" x14ac:dyDescent="0.2">
      <c r="A9143">
        <v>0</v>
      </c>
    </row>
    <row r="9144" spans="1:1" x14ac:dyDescent="0.2">
      <c r="A9144">
        <v>0</v>
      </c>
    </row>
    <row r="9145" spans="1:1" x14ac:dyDescent="0.2">
      <c r="A9145">
        <v>0</v>
      </c>
    </row>
    <row r="9146" spans="1:1" x14ac:dyDescent="0.2">
      <c r="A9146">
        <v>0</v>
      </c>
    </row>
    <row r="9147" spans="1:1" x14ac:dyDescent="0.2">
      <c r="A9147">
        <v>0</v>
      </c>
    </row>
    <row r="9148" spans="1:1" x14ac:dyDescent="0.2">
      <c r="A9148">
        <v>0</v>
      </c>
    </row>
    <row r="9149" spans="1:1" x14ac:dyDescent="0.2">
      <c r="A9149">
        <v>0</v>
      </c>
    </row>
    <row r="9150" spans="1:1" x14ac:dyDescent="0.2">
      <c r="A9150">
        <v>0</v>
      </c>
    </row>
    <row r="9151" spans="1:1" x14ac:dyDescent="0.2">
      <c r="A9151">
        <v>0</v>
      </c>
    </row>
    <row r="9152" spans="1:1" x14ac:dyDescent="0.2">
      <c r="A9152">
        <v>0</v>
      </c>
    </row>
    <row r="9153" spans="1:1" x14ac:dyDescent="0.2">
      <c r="A9153">
        <v>0</v>
      </c>
    </row>
    <row r="9154" spans="1:1" x14ac:dyDescent="0.2">
      <c r="A9154">
        <v>0</v>
      </c>
    </row>
    <row r="9155" spans="1:1" x14ac:dyDescent="0.2">
      <c r="A9155">
        <v>0</v>
      </c>
    </row>
    <row r="9156" spans="1:1" x14ac:dyDescent="0.2">
      <c r="A9156">
        <v>0</v>
      </c>
    </row>
    <row r="9157" spans="1:1" x14ac:dyDescent="0.2">
      <c r="A9157">
        <v>0</v>
      </c>
    </row>
    <row r="9158" spans="1:1" x14ac:dyDescent="0.2">
      <c r="A9158">
        <v>0</v>
      </c>
    </row>
    <row r="9159" spans="1:1" x14ac:dyDescent="0.2">
      <c r="A9159">
        <v>0</v>
      </c>
    </row>
    <row r="9160" spans="1:1" x14ac:dyDescent="0.2">
      <c r="A9160">
        <v>0</v>
      </c>
    </row>
    <row r="9161" spans="1:1" x14ac:dyDescent="0.2">
      <c r="A9161">
        <v>0</v>
      </c>
    </row>
    <row r="9162" spans="1:1" x14ac:dyDescent="0.2">
      <c r="A9162">
        <v>0</v>
      </c>
    </row>
    <row r="9163" spans="1:1" x14ac:dyDescent="0.2">
      <c r="A9163">
        <v>0</v>
      </c>
    </row>
    <row r="9164" spans="1:1" x14ac:dyDescent="0.2">
      <c r="A9164">
        <v>0</v>
      </c>
    </row>
    <row r="9165" spans="1:1" x14ac:dyDescent="0.2">
      <c r="A9165">
        <v>0</v>
      </c>
    </row>
    <row r="9166" spans="1:1" x14ac:dyDescent="0.2">
      <c r="A9166">
        <v>0</v>
      </c>
    </row>
    <row r="9167" spans="1:1" x14ac:dyDescent="0.2">
      <c r="A9167">
        <v>0</v>
      </c>
    </row>
    <row r="9168" spans="1:1" x14ac:dyDescent="0.2">
      <c r="A9168">
        <v>0</v>
      </c>
    </row>
    <row r="9169" spans="1:1" x14ac:dyDescent="0.2">
      <c r="A9169">
        <v>0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0</v>
      </c>
    </row>
    <row r="9187" spans="1:1" x14ac:dyDescent="0.2">
      <c r="A9187">
        <v>0</v>
      </c>
    </row>
    <row r="9188" spans="1:1" x14ac:dyDescent="0.2">
      <c r="A9188">
        <v>0</v>
      </c>
    </row>
    <row r="9189" spans="1:1" x14ac:dyDescent="0.2">
      <c r="A9189">
        <v>0</v>
      </c>
    </row>
    <row r="9190" spans="1:1" x14ac:dyDescent="0.2">
      <c r="A9190">
        <v>0</v>
      </c>
    </row>
    <row r="9191" spans="1:1" x14ac:dyDescent="0.2">
      <c r="A9191">
        <v>0</v>
      </c>
    </row>
    <row r="9192" spans="1:1" x14ac:dyDescent="0.2">
      <c r="A9192">
        <v>0</v>
      </c>
    </row>
    <row r="9193" spans="1:1" x14ac:dyDescent="0.2">
      <c r="A9193">
        <v>0</v>
      </c>
    </row>
    <row r="9194" spans="1:1" x14ac:dyDescent="0.2">
      <c r="A9194">
        <v>0</v>
      </c>
    </row>
    <row r="9195" spans="1:1" x14ac:dyDescent="0.2">
      <c r="A9195">
        <v>0</v>
      </c>
    </row>
    <row r="9196" spans="1:1" x14ac:dyDescent="0.2">
      <c r="A9196">
        <v>0</v>
      </c>
    </row>
    <row r="9197" spans="1:1" x14ac:dyDescent="0.2">
      <c r="A9197">
        <v>0</v>
      </c>
    </row>
    <row r="9198" spans="1:1" x14ac:dyDescent="0.2">
      <c r="A9198">
        <v>0</v>
      </c>
    </row>
    <row r="9199" spans="1:1" x14ac:dyDescent="0.2">
      <c r="A9199">
        <v>0</v>
      </c>
    </row>
    <row r="9200" spans="1:1" x14ac:dyDescent="0.2">
      <c r="A9200">
        <v>0</v>
      </c>
    </row>
    <row r="9201" spans="1:1" x14ac:dyDescent="0.2">
      <c r="A9201">
        <v>0</v>
      </c>
    </row>
    <row r="9202" spans="1:1" x14ac:dyDescent="0.2">
      <c r="A9202">
        <v>0</v>
      </c>
    </row>
    <row r="9203" spans="1:1" x14ac:dyDescent="0.2">
      <c r="A9203">
        <v>0</v>
      </c>
    </row>
    <row r="9204" spans="1:1" x14ac:dyDescent="0.2">
      <c r="A9204">
        <v>0</v>
      </c>
    </row>
    <row r="9205" spans="1:1" x14ac:dyDescent="0.2">
      <c r="A9205">
        <v>0</v>
      </c>
    </row>
    <row r="9206" spans="1:1" x14ac:dyDescent="0.2">
      <c r="A9206">
        <v>0</v>
      </c>
    </row>
    <row r="9207" spans="1:1" x14ac:dyDescent="0.2">
      <c r="A9207">
        <v>0</v>
      </c>
    </row>
    <row r="9208" spans="1:1" x14ac:dyDescent="0.2">
      <c r="A9208">
        <v>0</v>
      </c>
    </row>
    <row r="9209" spans="1:1" x14ac:dyDescent="0.2">
      <c r="A9209">
        <v>0</v>
      </c>
    </row>
    <row r="9210" spans="1:1" x14ac:dyDescent="0.2">
      <c r="A9210">
        <v>0</v>
      </c>
    </row>
    <row r="9211" spans="1:1" x14ac:dyDescent="0.2">
      <c r="A9211">
        <v>0</v>
      </c>
    </row>
    <row r="9212" spans="1:1" x14ac:dyDescent="0.2">
      <c r="A9212">
        <v>0</v>
      </c>
    </row>
    <row r="9213" spans="1:1" x14ac:dyDescent="0.2">
      <c r="A9213">
        <v>0</v>
      </c>
    </row>
    <row r="9214" spans="1:1" x14ac:dyDescent="0.2">
      <c r="A9214">
        <v>0</v>
      </c>
    </row>
    <row r="9215" spans="1:1" x14ac:dyDescent="0.2">
      <c r="A9215">
        <v>0</v>
      </c>
    </row>
    <row r="9216" spans="1:1" x14ac:dyDescent="0.2">
      <c r="A9216">
        <v>0</v>
      </c>
    </row>
    <row r="9217" spans="1:1" x14ac:dyDescent="0.2">
      <c r="A9217">
        <v>0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0</v>
      </c>
    </row>
    <row r="9235" spans="1:1" x14ac:dyDescent="0.2">
      <c r="A9235">
        <v>0</v>
      </c>
    </row>
    <row r="9236" spans="1:1" x14ac:dyDescent="0.2">
      <c r="A9236">
        <v>0</v>
      </c>
    </row>
    <row r="9237" spans="1:1" x14ac:dyDescent="0.2">
      <c r="A9237">
        <v>0</v>
      </c>
    </row>
    <row r="9238" spans="1:1" x14ac:dyDescent="0.2">
      <c r="A9238">
        <v>0</v>
      </c>
    </row>
    <row r="9239" spans="1:1" x14ac:dyDescent="0.2">
      <c r="A9239">
        <v>0</v>
      </c>
    </row>
    <row r="9240" spans="1:1" x14ac:dyDescent="0.2">
      <c r="A9240">
        <v>0</v>
      </c>
    </row>
    <row r="9241" spans="1:1" x14ac:dyDescent="0.2">
      <c r="A9241">
        <v>0</v>
      </c>
    </row>
    <row r="9242" spans="1:1" x14ac:dyDescent="0.2">
      <c r="A9242">
        <v>0</v>
      </c>
    </row>
    <row r="9243" spans="1:1" x14ac:dyDescent="0.2">
      <c r="A9243">
        <v>0</v>
      </c>
    </row>
    <row r="9244" spans="1:1" x14ac:dyDescent="0.2">
      <c r="A9244">
        <v>0</v>
      </c>
    </row>
    <row r="9245" spans="1:1" x14ac:dyDescent="0.2">
      <c r="A9245">
        <v>0</v>
      </c>
    </row>
    <row r="9246" spans="1:1" x14ac:dyDescent="0.2">
      <c r="A9246">
        <v>0</v>
      </c>
    </row>
    <row r="9247" spans="1:1" x14ac:dyDescent="0.2">
      <c r="A9247">
        <v>0</v>
      </c>
    </row>
    <row r="9248" spans="1:1" x14ac:dyDescent="0.2">
      <c r="A9248">
        <v>0</v>
      </c>
    </row>
    <row r="9249" spans="1:1" x14ac:dyDescent="0.2">
      <c r="A9249">
        <v>0</v>
      </c>
    </row>
    <row r="9250" spans="1:1" x14ac:dyDescent="0.2">
      <c r="A9250">
        <v>0</v>
      </c>
    </row>
    <row r="9251" spans="1:1" x14ac:dyDescent="0.2">
      <c r="A9251">
        <v>0</v>
      </c>
    </row>
    <row r="9252" spans="1:1" x14ac:dyDescent="0.2">
      <c r="A9252">
        <v>0</v>
      </c>
    </row>
    <row r="9253" spans="1:1" x14ac:dyDescent="0.2">
      <c r="A9253">
        <v>0</v>
      </c>
    </row>
    <row r="9254" spans="1:1" x14ac:dyDescent="0.2">
      <c r="A9254">
        <v>0</v>
      </c>
    </row>
    <row r="9255" spans="1:1" x14ac:dyDescent="0.2">
      <c r="A9255">
        <v>0</v>
      </c>
    </row>
    <row r="9256" spans="1:1" x14ac:dyDescent="0.2">
      <c r="A9256">
        <v>0</v>
      </c>
    </row>
    <row r="9257" spans="1:1" x14ac:dyDescent="0.2">
      <c r="A9257">
        <v>0</v>
      </c>
    </row>
    <row r="9258" spans="1:1" x14ac:dyDescent="0.2">
      <c r="A9258">
        <v>0</v>
      </c>
    </row>
    <row r="9259" spans="1:1" x14ac:dyDescent="0.2">
      <c r="A9259">
        <v>0</v>
      </c>
    </row>
    <row r="9260" spans="1:1" x14ac:dyDescent="0.2">
      <c r="A9260">
        <v>0</v>
      </c>
    </row>
    <row r="9261" spans="1:1" x14ac:dyDescent="0.2">
      <c r="A9261">
        <v>0</v>
      </c>
    </row>
    <row r="9262" spans="1:1" x14ac:dyDescent="0.2">
      <c r="A9262">
        <v>0</v>
      </c>
    </row>
    <row r="9263" spans="1:1" x14ac:dyDescent="0.2">
      <c r="A9263">
        <v>0</v>
      </c>
    </row>
    <row r="9264" spans="1:1" x14ac:dyDescent="0.2">
      <c r="A9264">
        <v>0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0</v>
      </c>
    </row>
    <row r="9283" spans="1:1" x14ac:dyDescent="0.2">
      <c r="A9283">
        <v>0</v>
      </c>
    </row>
    <row r="9284" spans="1:1" x14ac:dyDescent="0.2">
      <c r="A9284">
        <v>0</v>
      </c>
    </row>
    <row r="9285" spans="1:1" x14ac:dyDescent="0.2">
      <c r="A9285">
        <v>0</v>
      </c>
    </row>
    <row r="9286" spans="1:1" x14ac:dyDescent="0.2">
      <c r="A9286">
        <v>0</v>
      </c>
    </row>
    <row r="9287" spans="1:1" x14ac:dyDescent="0.2">
      <c r="A9287">
        <v>0</v>
      </c>
    </row>
    <row r="9288" spans="1:1" x14ac:dyDescent="0.2">
      <c r="A9288">
        <v>0</v>
      </c>
    </row>
    <row r="9289" spans="1:1" x14ac:dyDescent="0.2">
      <c r="A9289">
        <v>0</v>
      </c>
    </row>
    <row r="9290" spans="1:1" x14ac:dyDescent="0.2">
      <c r="A9290">
        <v>0</v>
      </c>
    </row>
    <row r="9291" spans="1:1" x14ac:dyDescent="0.2">
      <c r="A9291">
        <v>0</v>
      </c>
    </row>
    <row r="9292" spans="1:1" x14ac:dyDescent="0.2">
      <c r="A9292">
        <v>0</v>
      </c>
    </row>
    <row r="9293" spans="1:1" x14ac:dyDescent="0.2">
      <c r="A9293">
        <v>0</v>
      </c>
    </row>
    <row r="9294" spans="1:1" x14ac:dyDescent="0.2">
      <c r="A9294">
        <v>0</v>
      </c>
    </row>
    <row r="9295" spans="1:1" x14ac:dyDescent="0.2">
      <c r="A9295">
        <v>0</v>
      </c>
    </row>
    <row r="9296" spans="1:1" x14ac:dyDescent="0.2">
      <c r="A9296">
        <v>0</v>
      </c>
    </row>
    <row r="9297" spans="1:1" x14ac:dyDescent="0.2">
      <c r="A9297">
        <v>0</v>
      </c>
    </row>
    <row r="9298" spans="1:1" x14ac:dyDescent="0.2">
      <c r="A9298">
        <v>0</v>
      </c>
    </row>
    <row r="9299" spans="1:1" x14ac:dyDescent="0.2">
      <c r="A9299">
        <v>0</v>
      </c>
    </row>
    <row r="9300" spans="1:1" x14ac:dyDescent="0.2">
      <c r="A9300">
        <v>0</v>
      </c>
    </row>
    <row r="9301" spans="1:1" x14ac:dyDescent="0.2">
      <c r="A9301">
        <v>0</v>
      </c>
    </row>
    <row r="9302" spans="1:1" x14ac:dyDescent="0.2">
      <c r="A9302">
        <v>0</v>
      </c>
    </row>
    <row r="9303" spans="1:1" x14ac:dyDescent="0.2">
      <c r="A9303">
        <v>0</v>
      </c>
    </row>
    <row r="9304" spans="1:1" x14ac:dyDescent="0.2">
      <c r="A9304">
        <v>0</v>
      </c>
    </row>
    <row r="9305" spans="1:1" x14ac:dyDescent="0.2">
      <c r="A9305">
        <v>0</v>
      </c>
    </row>
    <row r="9306" spans="1:1" x14ac:dyDescent="0.2">
      <c r="A9306">
        <v>0</v>
      </c>
    </row>
    <row r="9307" spans="1:1" x14ac:dyDescent="0.2">
      <c r="A9307">
        <v>0</v>
      </c>
    </row>
    <row r="9308" spans="1:1" x14ac:dyDescent="0.2">
      <c r="A9308">
        <v>0</v>
      </c>
    </row>
    <row r="9309" spans="1:1" x14ac:dyDescent="0.2">
      <c r="A9309">
        <v>0</v>
      </c>
    </row>
    <row r="9310" spans="1:1" x14ac:dyDescent="0.2">
      <c r="A9310">
        <v>0</v>
      </c>
    </row>
    <row r="9311" spans="1:1" x14ac:dyDescent="0.2">
      <c r="A9311">
        <v>0</v>
      </c>
    </row>
    <row r="9312" spans="1:1" x14ac:dyDescent="0.2">
      <c r="A9312">
        <v>0</v>
      </c>
    </row>
    <row r="9313" spans="1:1" x14ac:dyDescent="0.2">
      <c r="A9313">
        <v>0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</v>
      </c>
    </row>
    <row r="9331" spans="1:1" x14ac:dyDescent="0.2">
      <c r="A9331">
        <v>0</v>
      </c>
    </row>
    <row r="9332" spans="1:1" x14ac:dyDescent="0.2">
      <c r="A9332">
        <v>0</v>
      </c>
    </row>
    <row r="9333" spans="1:1" x14ac:dyDescent="0.2">
      <c r="A9333">
        <v>0</v>
      </c>
    </row>
    <row r="9334" spans="1:1" x14ac:dyDescent="0.2">
      <c r="A9334">
        <v>0</v>
      </c>
    </row>
    <row r="9335" spans="1:1" x14ac:dyDescent="0.2">
      <c r="A9335">
        <v>0</v>
      </c>
    </row>
    <row r="9336" spans="1:1" x14ac:dyDescent="0.2">
      <c r="A9336">
        <v>0</v>
      </c>
    </row>
    <row r="9337" spans="1:1" x14ac:dyDescent="0.2">
      <c r="A9337">
        <v>0</v>
      </c>
    </row>
    <row r="9338" spans="1:1" x14ac:dyDescent="0.2">
      <c r="A9338">
        <v>0</v>
      </c>
    </row>
    <row r="9339" spans="1:1" x14ac:dyDescent="0.2">
      <c r="A9339">
        <v>0</v>
      </c>
    </row>
    <row r="9340" spans="1:1" x14ac:dyDescent="0.2">
      <c r="A9340">
        <v>0</v>
      </c>
    </row>
    <row r="9341" spans="1:1" x14ac:dyDescent="0.2">
      <c r="A9341">
        <v>0</v>
      </c>
    </row>
    <row r="9342" spans="1:1" x14ac:dyDescent="0.2">
      <c r="A9342">
        <v>0</v>
      </c>
    </row>
    <row r="9343" spans="1:1" x14ac:dyDescent="0.2">
      <c r="A9343">
        <v>0</v>
      </c>
    </row>
    <row r="9344" spans="1:1" x14ac:dyDescent="0.2">
      <c r="A9344">
        <v>0</v>
      </c>
    </row>
    <row r="9345" spans="1:1" x14ac:dyDescent="0.2">
      <c r="A9345">
        <v>0</v>
      </c>
    </row>
    <row r="9346" spans="1:1" x14ac:dyDescent="0.2">
      <c r="A9346">
        <v>0</v>
      </c>
    </row>
    <row r="9347" spans="1:1" x14ac:dyDescent="0.2">
      <c r="A9347">
        <v>0</v>
      </c>
    </row>
    <row r="9348" spans="1:1" x14ac:dyDescent="0.2">
      <c r="A9348">
        <v>0</v>
      </c>
    </row>
    <row r="9349" spans="1:1" x14ac:dyDescent="0.2">
      <c r="A9349">
        <v>0</v>
      </c>
    </row>
    <row r="9350" spans="1:1" x14ac:dyDescent="0.2">
      <c r="A9350">
        <v>0</v>
      </c>
    </row>
    <row r="9351" spans="1:1" x14ac:dyDescent="0.2">
      <c r="A9351">
        <v>0</v>
      </c>
    </row>
    <row r="9352" spans="1:1" x14ac:dyDescent="0.2">
      <c r="A9352">
        <v>0</v>
      </c>
    </row>
    <row r="9353" spans="1:1" x14ac:dyDescent="0.2">
      <c r="A9353">
        <v>0</v>
      </c>
    </row>
    <row r="9354" spans="1:1" x14ac:dyDescent="0.2">
      <c r="A9354">
        <v>0</v>
      </c>
    </row>
    <row r="9355" spans="1:1" x14ac:dyDescent="0.2">
      <c r="A9355">
        <v>0</v>
      </c>
    </row>
    <row r="9356" spans="1:1" x14ac:dyDescent="0.2">
      <c r="A9356">
        <v>0</v>
      </c>
    </row>
    <row r="9357" spans="1:1" x14ac:dyDescent="0.2">
      <c r="A9357">
        <v>0</v>
      </c>
    </row>
    <row r="9358" spans="1:1" x14ac:dyDescent="0.2">
      <c r="A9358">
        <v>0</v>
      </c>
    </row>
    <row r="9359" spans="1:1" x14ac:dyDescent="0.2">
      <c r="A9359">
        <v>0</v>
      </c>
    </row>
    <row r="9360" spans="1:1" x14ac:dyDescent="0.2">
      <c r="A9360">
        <v>0</v>
      </c>
    </row>
    <row r="9361" spans="1:1" x14ac:dyDescent="0.2">
      <c r="A9361">
        <v>0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0</v>
      </c>
    </row>
    <row r="9379" spans="1:1" x14ac:dyDescent="0.2">
      <c r="A9379">
        <v>0</v>
      </c>
    </row>
    <row r="9380" spans="1:1" x14ac:dyDescent="0.2">
      <c r="A9380">
        <v>0</v>
      </c>
    </row>
    <row r="9381" spans="1:1" x14ac:dyDescent="0.2">
      <c r="A9381">
        <v>0</v>
      </c>
    </row>
    <row r="9382" spans="1:1" x14ac:dyDescent="0.2">
      <c r="A9382">
        <v>0</v>
      </c>
    </row>
    <row r="9383" spans="1:1" x14ac:dyDescent="0.2">
      <c r="A9383">
        <v>0</v>
      </c>
    </row>
    <row r="9384" spans="1:1" x14ac:dyDescent="0.2">
      <c r="A9384">
        <v>0</v>
      </c>
    </row>
    <row r="9385" spans="1:1" x14ac:dyDescent="0.2">
      <c r="A9385">
        <v>0</v>
      </c>
    </row>
    <row r="9386" spans="1:1" x14ac:dyDescent="0.2">
      <c r="A9386">
        <v>0</v>
      </c>
    </row>
    <row r="9387" spans="1:1" x14ac:dyDescent="0.2">
      <c r="A9387">
        <v>0</v>
      </c>
    </row>
    <row r="9388" spans="1:1" x14ac:dyDescent="0.2">
      <c r="A9388">
        <v>0</v>
      </c>
    </row>
    <row r="9389" spans="1:1" x14ac:dyDescent="0.2">
      <c r="A9389">
        <v>0</v>
      </c>
    </row>
    <row r="9390" spans="1:1" x14ac:dyDescent="0.2">
      <c r="A9390">
        <v>0</v>
      </c>
    </row>
    <row r="9391" spans="1:1" x14ac:dyDescent="0.2">
      <c r="A9391">
        <v>0</v>
      </c>
    </row>
    <row r="9392" spans="1:1" x14ac:dyDescent="0.2">
      <c r="A9392">
        <v>0</v>
      </c>
    </row>
    <row r="9393" spans="1:1" x14ac:dyDescent="0.2">
      <c r="A9393">
        <v>0</v>
      </c>
    </row>
    <row r="9394" spans="1:1" x14ac:dyDescent="0.2">
      <c r="A9394">
        <v>0</v>
      </c>
    </row>
    <row r="9395" spans="1:1" x14ac:dyDescent="0.2">
      <c r="A9395">
        <v>0</v>
      </c>
    </row>
    <row r="9396" spans="1:1" x14ac:dyDescent="0.2">
      <c r="A9396">
        <v>0</v>
      </c>
    </row>
    <row r="9397" spans="1:1" x14ac:dyDescent="0.2">
      <c r="A9397">
        <v>0</v>
      </c>
    </row>
    <row r="9398" spans="1:1" x14ac:dyDescent="0.2">
      <c r="A9398">
        <v>0</v>
      </c>
    </row>
    <row r="9399" spans="1:1" x14ac:dyDescent="0.2">
      <c r="A9399">
        <v>0</v>
      </c>
    </row>
    <row r="9400" spans="1:1" x14ac:dyDescent="0.2">
      <c r="A9400">
        <v>0</v>
      </c>
    </row>
    <row r="9401" spans="1:1" x14ac:dyDescent="0.2">
      <c r="A9401">
        <v>0</v>
      </c>
    </row>
    <row r="9402" spans="1:1" x14ac:dyDescent="0.2">
      <c r="A9402">
        <v>0</v>
      </c>
    </row>
    <row r="9403" spans="1:1" x14ac:dyDescent="0.2">
      <c r="A9403">
        <v>0</v>
      </c>
    </row>
    <row r="9404" spans="1:1" x14ac:dyDescent="0.2">
      <c r="A9404">
        <v>0</v>
      </c>
    </row>
    <row r="9405" spans="1:1" x14ac:dyDescent="0.2">
      <c r="A9405">
        <v>0</v>
      </c>
    </row>
    <row r="9406" spans="1:1" x14ac:dyDescent="0.2">
      <c r="A9406">
        <v>0</v>
      </c>
    </row>
    <row r="9407" spans="1:1" x14ac:dyDescent="0.2">
      <c r="A9407">
        <v>0</v>
      </c>
    </row>
    <row r="9408" spans="1:1" x14ac:dyDescent="0.2">
      <c r="A9408">
        <v>0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0</v>
      </c>
    </row>
    <row r="9427" spans="1:1" x14ac:dyDescent="0.2">
      <c r="A9427">
        <v>0</v>
      </c>
    </row>
    <row r="9428" spans="1:1" x14ac:dyDescent="0.2">
      <c r="A9428">
        <v>0</v>
      </c>
    </row>
    <row r="9429" spans="1:1" x14ac:dyDescent="0.2">
      <c r="A9429">
        <v>0</v>
      </c>
    </row>
    <row r="9430" spans="1:1" x14ac:dyDescent="0.2">
      <c r="A9430">
        <v>0</v>
      </c>
    </row>
    <row r="9431" spans="1:1" x14ac:dyDescent="0.2">
      <c r="A9431">
        <v>0</v>
      </c>
    </row>
    <row r="9432" spans="1:1" x14ac:dyDescent="0.2">
      <c r="A9432">
        <v>0</v>
      </c>
    </row>
    <row r="9433" spans="1:1" x14ac:dyDescent="0.2">
      <c r="A9433">
        <v>0</v>
      </c>
    </row>
    <row r="9434" spans="1:1" x14ac:dyDescent="0.2">
      <c r="A9434">
        <v>0</v>
      </c>
    </row>
    <row r="9435" spans="1:1" x14ac:dyDescent="0.2">
      <c r="A9435">
        <v>0</v>
      </c>
    </row>
    <row r="9436" spans="1:1" x14ac:dyDescent="0.2">
      <c r="A9436">
        <v>0</v>
      </c>
    </row>
    <row r="9437" spans="1:1" x14ac:dyDescent="0.2">
      <c r="A9437">
        <v>0</v>
      </c>
    </row>
    <row r="9438" spans="1:1" x14ac:dyDescent="0.2">
      <c r="A9438">
        <v>0</v>
      </c>
    </row>
    <row r="9439" spans="1:1" x14ac:dyDescent="0.2">
      <c r="A9439">
        <v>0</v>
      </c>
    </row>
    <row r="9440" spans="1:1" x14ac:dyDescent="0.2">
      <c r="A9440">
        <v>0</v>
      </c>
    </row>
    <row r="9441" spans="1:1" x14ac:dyDescent="0.2">
      <c r="A9441">
        <v>0</v>
      </c>
    </row>
    <row r="9442" spans="1:1" x14ac:dyDescent="0.2">
      <c r="A9442">
        <v>0</v>
      </c>
    </row>
    <row r="9443" spans="1:1" x14ac:dyDescent="0.2">
      <c r="A9443">
        <v>0</v>
      </c>
    </row>
    <row r="9444" spans="1:1" x14ac:dyDescent="0.2">
      <c r="A9444">
        <v>0</v>
      </c>
    </row>
    <row r="9445" spans="1:1" x14ac:dyDescent="0.2">
      <c r="A9445">
        <v>0</v>
      </c>
    </row>
    <row r="9446" spans="1:1" x14ac:dyDescent="0.2">
      <c r="A9446">
        <v>0</v>
      </c>
    </row>
    <row r="9447" spans="1:1" x14ac:dyDescent="0.2">
      <c r="A9447">
        <v>0</v>
      </c>
    </row>
    <row r="9448" spans="1:1" x14ac:dyDescent="0.2">
      <c r="A9448">
        <v>0</v>
      </c>
    </row>
    <row r="9449" spans="1:1" x14ac:dyDescent="0.2">
      <c r="A9449">
        <v>0</v>
      </c>
    </row>
    <row r="9450" spans="1:1" x14ac:dyDescent="0.2">
      <c r="A9450">
        <v>0</v>
      </c>
    </row>
    <row r="9451" spans="1:1" x14ac:dyDescent="0.2">
      <c r="A9451">
        <v>0</v>
      </c>
    </row>
    <row r="9452" spans="1:1" x14ac:dyDescent="0.2">
      <c r="A9452">
        <v>0</v>
      </c>
    </row>
    <row r="9453" spans="1:1" x14ac:dyDescent="0.2">
      <c r="A9453">
        <v>0</v>
      </c>
    </row>
    <row r="9454" spans="1:1" x14ac:dyDescent="0.2">
      <c r="A9454">
        <v>0</v>
      </c>
    </row>
    <row r="9455" spans="1:1" x14ac:dyDescent="0.2">
      <c r="A9455">
        <v>0</v>
      </c>
    </row>
    <row r="9456" spans="1:1" x14ac:dyDescent="0.2">
      <c r="A9456">
        <v>0</v>
      </c>
    </row>
    <row r="9457" spans="1:1" x14ac:dyDescent="0.2">
      <c r="A9457">
        <v>0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</v>
      </c>
    </row>
    <row r="9475" spans="1:1" x14ac:dyDescent="0.2">
      <c r="A9475">
        <v>0</v>
      </c>
    </row>
    <row r="9476" spans="1:1" x14ac:dyDescent="0.2">
      <c r="A9476">
        <v>0</v>
      </c>
    </row>
    <row r="9477" spans="1:1" x14ac:dyDescent="0.2">
      <c r="A9477">
        <v>0</v>
      </c>
    </row>
    <row r="9478" spans="1:1" x14ac:dyDescent="0.2">
      <c r="A9478">
        <v>0</v>
      </c>
    </row>
    <row r="9479" spans="1:1" x14ac:dyDescent="0.2">
      <c r="A9479">
        <v>0</v>
      </c>
    </row>
    <row r="9480" spans="1:1" x14ac:dyDescent="0.2">
      <c r="A9480">
        <v>0</v>
      </c>
    </row>
    <row r="9481" spans="1:1" x14ac:dyDescent="0.2">
      <c r="A9481">
        <v>0</v>
      </c>
    </row>
    <row r="9482" spans="1:1" x14ac:dyDescent="0.2">
      <c r="A9482">
        <v>0</v>
      </c>
    </row>
    <row r="9483" spans="1:1" x14ac:dyDescent="0.2">
      <c r="A9483">
        <v>0</v>
      </c>
    </row>
    <row r="9484" spans="1:1" x14ac:dyDescent="0.2">
      <c r="A9484">
        <v>0</v>
      </c>
    </row>
    <row r="9485" spans="1:1" x14ac:dyDescent="0.2">
      <c r="A9485">
        <v>0</v>
      </c>
    </row>
    <row r="9486" spans="1:1" x14ac:dyDescent="0.2">
      <c r="A9486">
        <v>0</v>
      </c>
    </row>
    <row r="9487" spans="1:1" x14ac:dyDescent="0.2">
      <c r="A9487">
        <v>0</v>
      </c>
    </row>
    <row r="9488" spans="1:1" x14ac:dyDescent="0.2">
      <c r="A9488">
        <v>0</v>
      </c>
    </row>
    <row r="9489" spans="1:1" x14ac:dyDescent="0.2">
      <c r="A9489">
        <v>0</v>
      </c>
    </row>
    <row r="9490" spans="1:1" x14ac:dyDescent="0.2">
      <c r="A9490">
        <v>0</v>
      </c>
    </row>
    <row r="9491" spans="1:1" x14ac:dyDescent="0.2">
      <c r="A9491">
        <v>0</v>
      </c>
    </row>
    <row r="9492" spans="1:1" x14ac:dyDescent="0.2">
      <c r="A9492">
        <v>0</v>
      </c>
    </row>
    <row r="9493" spans="1:1" x14ac:dyDescent="0.2">
      <c r="A9493">
        <v>0</v>
      </c>
    </row>
    <row r="9494" spans="1:1" x14ac:dyDescent="0.2">
      <c r="A9494">
        <v>0</v>
      </c>
    </row>
    <row r="9495" spans="1:1" x14ac:dyDescent="0.2">
      <c r="A9495">
        <v>0</v>
      </c>
    </row>
    <row r="9496" spans="1:1" x14ac:dyDescent="0.2">
      <c r="A9496">
        <v>0</v>
      </c>
    </row>
    <row r="9497" spans="1:1" x14ac:dyDescent="0.2">
      <c r="A9497">
        <v>0</v>
      </c>
    </row>
    <row r="9498" spans="1:1" x14ac:dyDescent="0.2">
      <c r="A9498">
        <v>0</v>
      </c>
    </row>
    <row r="9499" spans="1:1" x14ac:dyDescent="0.2">
      <c r="A9499">
        <v>0</v>
      </c>
    </row>
    <row r="9500" spans="1:1" x14ac:dyDescent="0.2">
      <c r="A9500">
        <v>0</v>
      </c>
    </row>
    <row r="9501" spans="1:1" x14ac:dyDescent="0.2">
      <c r="A9501">
        <v>0</v>
      </c>
    </row>
    <row r="9502" spans="1:1" x14ac:dyDescent="0.2">
      <c r="A9502">
        <v>0</v>
      </c>
    </row>
    <row r="9503" spans="1:1" x14ac:dyDescent="0.2">
      <c r="A9503">
        <v>0</v>
      </c>
    </row>
    <row r="9504" spans="1:1" x14ac:dyDescent="0.2">
      <c r="A9504">
        <v>0</v>
      </c>
    </row>
    <row r="9505" spans="1:1" x14ac:dyDescent="0.2">
      <c r="A9505">
        <v>0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0</v>
      </c>
    </row>
    <row r="9523" spans="1:1" x14ac:dyDescent="0.2">
      <c r="A9523">
        <v>0</v>
      </c>
    </row>
    <row r="9524" spans="1:1" x14ac:dyDescent="0.2">
      <c r="A9524">
        <v>0</v>
      </c>
    </row>
    <row r="9525" spans="1:1" x14ac:dyDescent="0.2">
      <c r="A9525">
        <v>0</v>
      </c>
    </row>
    <row r="9526" spans="1:1" x14ac:dyDescent="0.2">
      <c r="A9526">
        <v>0</v>
      </c>
    </row>
    <row r="9527" spans="1:1" x14ac:dyDescent="0.2">
      <c r="A9527">
        <v>0</v>
      </c>
    </row>
    <row r="9528" spans="1:1" x14ac:dyDescent="0.2">
      <c r="A9528">
        <v>0</v>
      </c>
    </row>
    <row r="9529" spans="1:1" x14ac:dyDescent="0.2">
      <c r="A9529">
        <v>0</v>
      </c>
    </row>
    <row r="9530" spans="1:1" x14ac:dyDescent="0.2">
      <c r="A9530">
        <v>0</v>
      </c>
    </row>
    <row r="9531" spans="1:1" x14ac:dyDescent="0.2">
      <c r="A9531">
        <v>0</v>
      </c>
    </row>
    <row r="9532" spans="1:1" x14ac:dyDescent="0.2">
      <c r="A9532">
        <v>0</v>
      </c>
    </row>
    <row r="9533" spans="1:1" x14ac:dyDescent="0.2">
      <c r="A9533">
        <v>0</v>
      </c>
    </row>
    <row r="9534" spans="1:1" x14ac:dyDescent="0.2">
      <c r="A9534">
        <v>0</v>
      </c>
    </row>
    <row r="9535" spans="1:1" x14ac:dyDescent="0.2">
      <c r="A9535">
        <v>0</v>
      </c>
    </row>
    <row r="9536" spans="1:1" x14ac:dyDescent="0.2">
      <c r="A9536">
        <v>0</v>
      </c>
    </row>
    <row r="9537" spans="1:1" x14ac:dyDescent="0.2">
      <c r="A9537">
        <v>0</v>
      </c>
    </row>
    <row r="9538" spans="1:1" x14ac:dyDescent="0.2">
      <c r="A9538">
        <v>0</v>
      </c>
    </row>
    <row r="9539" spans="1:1" x14ac:dyDescent="0.2">
      <c r="A9539">
        <v>0</v>
      </c>
    </row>
    <row r="9540" spans="1:1" x14ac:dyDescent="0.2">
      <c r="A9540">
        <v>0</v>
      </c>
    </row>
    <row r="9541" spans="1:1" x14ac:dyDescent="0.2">
      <c r="A9541">
        <v>0</v>
      </c>
    </row>
    <row r="9542" spans="1:1" x14ac:dyDescent="0.2">
      <c r="A9542">
        <v>0</v>
      </c>
    </row>
    <row r="9543" spans="1:1" x14ac:dyDescent="0.2">
      <c r="A9543">
        <v>0</v>
      </c>
    </row>
    <row r="9544" spans="1:1" x14ac:dyDescent="0.2">
      <c r="A9544">
        <v>0</v>
      </c>
    </row>
    <row r="9545" spans="1:1" x14ac:dyDescent="0.2">
      <c r="A9545">
        <v>0</v>
      </c>
    </row>
    <row r="9546" spans="1:1" x14ac:dyDescent="0.2">
      <c r="A9546">
        <v>0</v>
      </c>
    </row>
    <row r="9547" spans="1:1" x14ac:dyDescent="0.2">
      <c r="A9547">
        <v>0</v>
      </c>
    </row>
    <row r="9548" spans="1:1" x14ac:dyDescent="0.2">
      <c r="A9548">
        <v>0</v>
      </c>
    </row>
    <row r="9549" spans="1:1" x14ac:dyDescent="0.2">
      <c r="A9549">
        <v>0</v>
      </c>
    </row>
    <row r="9550" spans="1:1" x14ac:dyDescent="0.2">
      <c r="A9550">
        <v>0</v>
      </c>
    </row>
    <row r="9551" spans="1:1" x14ac:dyDescent="0.2">
      <c r="A9551">
        <v>0</v>
      </c>
    </row>
    <row r="9552" spans="1:1" x14ac:dyDescent="0.2">
      <c r="A9552">
        <v>0</v>
      </c>
    </row>
    <row r="9553" spans="1:1" x14ac:dyDescent="0.2">
      <c r="A9553">
        <v>0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</v>
      </c>
    </row>
    <row r="9571" spans="1:1" x14ac:dyDescent="0.2">
      <c r="A9571">
        <v>0</v>
      </c>
    </row>
    <row r="9572" spans="1:1" x14ac:dyDescent="0.2">
      <c r="A9572">
        <v>0</v>
      </c>
    </row>
    <row r="9573" spans="1:1" x14ac:dyDescent="0.2">
      <c r="A9573">
        <v>0</v>
      </c>
    </row>
    <row r="9574" spans="1:1" x14ac:dyDescent="0.2">
      <c r="A9574">
        <v>0</v>
      </c>
    </row>
    <row r="9575" spans="1:1" x14ac:dyDescent="0.2">
      <c r="A9575">
        <v>0</v>
      </c>
    </row>
    <row r="9576" spans="1:1" x14ac:dyDescent="0.2">
      <c r="A9576">
        <v>0</v>
      </c>
    </row>
    <row r="9577" spans="1:1" x14ac:dyDescent="0.2">
      <c r="A9577">
        <v>0</v>
      </c>
    </row>
    <row r="9578" spans="1:1" x14ac:dyDescent="0.2">
      <c r="A9578">
        <v>0</v>
      </c>
    </row>
    <row r="9579" spans="1:1" x14ac:dyDescent="0.2">
      <c r="A9579">
        <v>0</v>
      </c>
    </row>
    <row r="9580" spans="1:1" x14ac:dyDescent="0.2">
      <c r="A9580">
        <v>0</v>
      </c>
    </row>
    <row r="9581" spans="1:1" x14ac:dyDescent="0.2">
      <c r="A9581">
        <v>0</v>
      </c>
    </row>
    <row r="9582" spans="1:1" x14ac:dyDescent="0.2">
      <c r="A9582">
        <v>0</v>
      </c>
    </row>
    <row r="9583" spans="1:1" x14ac:dyDescent="0.2">
      <c r="A9583">
        <v>0</v>
      </c>
    </row>
    <row r="9584" spans="1:1" x14ac:dyDescent="0.2">
      <c r="A9584">
        <v>0</v>
      </c>
    </row>
    <row r="9585" spans="1:1" x14ac:dyDescent="0.2">
      <c r="A9585">
        <v>0</v>
      </c>
    </row>
    <row r="9586" spans="1:1" x14ac:dyDescent="0.2">
      <c r="A9586">
        <v>0</v>
      </c>
    </row>
    <row r="9587" spans="1:1" x14ac:dyDescent="0.2">
      <c r="A9587">
        <v>0</v>
      </c>
    </row>
    <row r="9588" spans="1:1" x14ac:dyDescent="0.2">
      <c r="A9588">
        <v>0</v>
      </c>
    </row>
    <row r="9589" spans="1:1" x14ac:dyDescent="0.2">
      <c r="A9589">
        <v>0</v>
      </c>
    </row>
    <row r="9590" spans="1:1" x14ac:dyDescent="0.2">
      <c r="A9590">
        <v>0</v>
      </c>
    </row>
    <row r="9591" spans="1:1" x14ac:dyDescent="0.2">
      <c r="A9591">
        <v>0</v>
      </c>
    </row>
    <row r="9592" spans="1:1" x14ac:dyDescent="0.2">
      <c r="A9592">
        <v>0</v>
      </c>
    </row>
    <row r="9593" spans="1:1" x14ac:dyDescent="0.2">
      <c r="A9593">
        <v>0</v>
      </c>
    </row>
    <row r="9594" spans="1:1" x14ac:dyDescent="0.2">
      <c r="A9594">
        <v>0</v>
      </c>
    </row>
    <row r="9595" spans="1:1" x14ac:dyDescent="0.2">
      <c r="A9595">
        <v>0</v>
      </c>
    </row>
    <row r="9596" spans="1:1" x14ac:dyDescent="0.2">
      <c r="A9596">
        <v>0</v>
      </c>
    </row>
    <row r="9597" spans="1:1" x14ac:dyDescent="0.2">
      <c r="A9597">
        <v>0</v>
      </c>
    </row>
    <row r="9598" spans="1:1" x14ac:dyDescent="0.2">
      <c r="A9598">
        <v>0</v>
      </c>
    </row>
    <row r="9599" spans="1:1" x14ac:dyDescent="0.2">
      <c r="A9599">
        <v>0</v>
      </c>
    </row>
    <row r="9600" spans="1:1" x14ac:dyDescent="0.2">
      <c r="A9600">
        <v>0</v>
      </c>
    </row>
    <row r="9601" spans="1:1" x14ac:dyDescent="0.2">
      <c r="A9601">
        <v>0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</v>
      </c>
    </row>
    <row r="9619" spans="1:1" x14ac:dyDescent="0.2">
      <c r="A9619">
        <v>0</v>
      </c>
    </row>
    <row r="9620" spans="1:1" x14ac:dyDescent="0.2">
      <c r="A9620">
        <v>0</v>
      </c>
    </row>
    <row r="9621" spans="1:1" x14ac:dyDescent="0.2">
      <c r="A9621">
        <v>0</v>
      </c>
    </row>
    <row r="9622" spans="1:1" x14ac:dyDescent="0.2">
      <c r="A9622">
        <v>0</v>
      </c>
    </row>
    <row r="9623" spans="1:1" x14ac:dyDescent="0.2">
      <c r="A9623">
        <v>0</v>
      </c>
    </row>
    <row r="9624" spans="1:1" x14ac:dyDescent="0.2">
      <c r="A9624">
        <v>0</v>
      </c>
    </row>
    <row r="9625" spans="1:1" x14ac:dyDescent="0.2">
      <c r="A9625">
        <v>0</v>
      </c>
    </row>
    <row r="9626" spans="1:1" x14ac:dyDescent="0.2">
      <c r="A9626">
        <v>0</v>
      </c>
    </row>
    <row r="9627" spans="1:1" x14ac:dyDescent="0.2">
      <c r="A9627">
        <v>0</v>
      </c>
    </row>
    <row r="9628" spans="1:1" x14ac:dyDescent="0.2">
      <c r="A9628">
        <v>0</v>
      </c>
    </row>
    <row r="9629" spans="1:1" x14ac:dyDescent="0.2">
      <c r="A9629">
        <v>0</v>
      </c>
    </row>
    <row r="9630" spans="1:1" x14ac:dyDescent="0.2">
      <c r="A9630">
        <v>0</v>
      </c>
    </row>
    <row r="9631" spans="1:1" x14ac:dyDescent="0.2">
      <c r="A9631">
        <v>0</v>
      </c>
    </row>
    <row r="9632" spans="1:1" x14ac:dyDescent="0.2">
      <c r="A9632">
        <v>0</v>
      </c>
    </row>
    <row r="9633" spans="1:1" x14ac:dyDescent="0.2">
      <c r="A9633">
        <v>0</v>
      </c>
    </row>
    <row r="9634" spans="1:1" x14ac:dyDescent="0.2">
      <c r="A9634">
        <v>0</v>
      </c>
    </row>
    <row r="9635" spans="1:1" x14ac:dyDescent="0.2">
      <c r="A9635">
        <v>0</v>
      </c>
    </row>
    <row r="9636" spans="1:1" x14ac:dyDescent="0.2">
      <c r="A9636">
        <v>0</v>
      </c>
    </row>
    <row r="9637" spans="1:1" x14ac:dyDescent="0.2">
      <c r="A9637">
        <v>0</v>
      </c>
    </row>
    <row r="9638" spans="1:1" x14ac:dyDescent="0.2">
      <c r="A9638">
        <v>0</v>
      </c>
    </row>
    <row r="9639" spans="1:1" x14ac:dyDescent="0.2">
      <c r="A9639">
        <v>0</v>
      </c>
    </row>
    <row r="9640" spans="1:1" x14ac:dyDescent="0.2">
      <c r="A9640">
        <v>0</v>
      </c>
    </row>
    <row r="9641" spans="1:1" x14ac:dyDescent="0.2">
      <c r="A9641">
        <v>0</v>
      </c>
    </row>
    <row r="9642" spans="1:1" x14ac:dyDescent="0.2">
      <c r="A9642">
        <v>0</v>
      </c>
    </row>
    <row r="9643" spans="1:1" x14ac:dyDescent="0.2">
      <c r="A9643">
        <v>0</v>
      </c>
    </row>
    <row r="9644" spans="1:1" x14ac:dyDescent="0.2">
      <c r="A9644">
        <v>0</v>
      </c>
    </row>
    <row r="9645" spans="1:1" x14ac:dyDescent="0.2">
      <c r="A9645">
        <v>0</v>
      </c>
    </row>
    <row r="9646" spans="1:1" x14ac:dyDescent="0.2">
      <c r="A9646">
        <v>0</v>
      </c>
    </row>
    <row r="9647" spans="1:1" x14ac:dyDescent="0.2">
      <c r="A9647">
        <v>0</v>
      </c>
    </row>
    <row r="9648" spans="1:1" x14ac:dyDescent="0.2">
      <c r="A9648">
        <v>0</v>
      </c>
    </row>
    <row r="9649" spans="1:1" x14ac:dyDescent="0.2">
      <c r="A9649">
        <v>0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</v>
      </c>
    </row>
    <row r="9667" spans="1:1" x14ac:dyDescent="0.2">
      <c r="A9667">
        <v>0</v>
      </c>
    </row>
    <row r="9668" spans="1:1" x14ac:dyDescent="0.2">
      <c r="A9668">
        <v>0</v>
      </c>
    </row>
    <row r="9669" spans="1:1" x14ac:dyDescent="0.2">
      <c r="A9669">
        <v>0</v>
      </c>
    </row>
    <row r="9670" spans="1:1" x14ac:dyDescent="0.2">
      <c r="A9670">
        <v>0</v>
      </c>
    </row>
    <row r="9671" spans="1:1" x14ac:dyDescent="0.2">
      <c r="A9671">
        <v>0</v>
      </c>
    </row>
    <row r="9672" spans="1:1" x14ac:dyDescent="0.2">
      <c r="A9672">
        <v>0</v>
      </c>
    </row>
    <row r="9673" spans="1:1" x14ac:dyDescent="0.2">
      <c r="A9673">
        <v>0</v>
      </c>
    </row>
    <row r="9674" spans="1:1" x14ac:dyDescent="0.2">
      <c r="A9674">
        <v>0</v>
      </c>
    </row>
    <row r="9675" spans="1:1" x14ac:dyDescent="0.2">
      <c r="A9675">
        <v>0</v>
      </c>
    </row>
    <row r="9676" spans="1:1" x14ac:dyDescent="0.2">
      <c r="A9676">
        <v>0</v>
      </c>
    </row>
    <row r="9677" spans="1:1" x14ac:dyDescent="0.2">
      <c r="A9677">
        <v>0</v>
      </c>
    </row>
    <row r="9678" spans="1:1" x14ac:dyDescent="0.2">
      <c r="A9678">
        <v>0</v>
      </c>
    </row>
    <row r="9679" spans="1:1" x14ac:dyDescent="0.2">
      <c r="A9679">
        <v>0</v>
      </c>
    </row>
    <row r="9680" spans="1:1" x14ac:dyDescent="0.2">
      <c r="A9680">
        <v>0</v>
      </c>
    </row>
    <row r="9681" spans="1:1" x14ac:dyDescent="0.2">
      <c r="A9681">
        <v>0</v>
      </c>
    </row>
    <row r="9682" spans="1:1" x14ac:dyDescent="0.2">
      <c r="A9682">
        <v>0</v>
      </c>
    </row>
    <row r="9683" spans="1:1" x14ac:dyDescent="0.2">
      <c r="A9683">
        <v>0</v>
      </c>
    </row>
    <row r="9684" spans="1:1" x14ac:dyDescent="0.2">
      <c r="A9684">
        <v>0</v>
      </c>
    </row>
    <row r="9685" spans="1:1" x14ac:dyDescent="0.2">
      <c r="A9685">
        <v>0</v>
      </c>
    </row>
    <row r="9686" spans="1:1" x14ac:dyDescent="0.2">
      <c r="A9686">
        <v>0</v>
      </c>
    </row>
    <row r="9687" spans="1:1" x14ac:dyDescent="0.2">
      <c r="A9687">
        <v>0</v>
      </c>
    </row>
    <row r="9688" spans="1:1" x14ac:dyDescent="0.2">
      <c r="A9688">
        <v>0</v>
      </c>
    </row>
    <row r="9689" spans="1:1" x14ac:dyDescent="0.2">
      <c r="A9689">
        <v>0</v>
      </c>
    </row>
    <row r="9690" spans="1:1" x14ac:dyDescent="0.2">
      <c r="A9690">
        <v>0</v>
      </c>
    </row>
    <row r="9691" spans="1:1" x14ac:dyDescent="0.2">
      <c r="A9691">
        <v>0</v>
      </c>
    </row>
    <row r="9692" spans="1:1" x14ac:dyDescent="0.2">
      <c r="A9692">
        <v>0</v>
      </c>
    </row>
    <row r="9693" spans="1:1" x14ac:dyDescent="0.2">
      <c r="A9693">
        <v>0</v>
      </c>
    </row>
    <row r="9694" spans="1:1" x14ac:dyDescent="0.2">
      <c r="A9694">
        <v>0</v>
      </c>
    </row>
    <row r="9695" spans="1:1" x14ac:dyDescent="0.2">
      <c r="A9695">
        <v>0</v>
      </c>
    </row>
    <row r="9696" spans="1:1" x14ac:dyDescent="0.2">
      <c r="A9696">
        <v>0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</v>
      </c>
    </row>
    <row r="9715" spans="1:1" x14ac:dyDescent="0.2">
      <c r="A9715">
        <v>0</v>
      </c>
    </row>
    <row r="9716" spans="1:1" x14ac:dyDescent="0.2">
      <c r="A9716">
        <v>0</v>
      </c>
    </row>
    <row r="9717" spans="1:1" x14ac:dyDescent="0.2">
      <c r="A9717">
        <v>0</v>
      </c>
    </row>
    <row r="9718" spans="1:1" x14ac:dyDescent="0.2">
      <c r="A9718">
        <v>0</v>
      </c>
    </row>
    <row r="9719" spans="1:1" x14ac:dyDescent="0.2">
      <c r="A9719">
        <v>0</v>
      </c>
    </row>
    <row r="9720" spans="1:1" x14ac:dyDescent="0.2">
      <c r="A9720">
        <v>0</v>
      </c>
    </row>
    <row r="9721" spans="1:1" x14ac:dyDescent="0.2">
      <c r="A9721">
        <v>0</v>
      </c>
    </row>
    <row r="9722" spans="1:1" x14ac:dyDescent="0.2">
      <c r="A9722">
        <v>0</v>
      </c>
    </row>
    <row r="9723" spans="1:1" x14ac:dyDescent="0.2">
      <c r="A9723">
        <v>0</v>
      </c>
    </row>
    <row r="9724" spans="1:1" x14ac:dyDescent="0.2">
      <c r="A9724">
        <v>0</v>
      </c>
    </row>
    <row r="9725" spans="1:1" x14ac:dyDescent="0.2">
      <c r="A9725">
        <v>0</v>
      </c>
    </row>
    <row r="9726" spans="1:1" x14ac:dyDescent="0.2">
      <c r="A9726">
        <v>0</v>
      </c>
    </row>
    <row r="9727" spans="1:1" x14ac:dyDescent="0.2">
      <c r="A9727">
        <v>0</v>
      </c>
    </row>
    <row r="9728" spans="1:1" x14ac:dyDescent="0.2">
      <c r="A9728">
        <v>0</v>
      </c>
    </row>
    <row r="9729" spans="1:1" x14ac:dyDescent="0.2">
      <c r="A9729">
        <v>0</v>
      </c>
    </row>
    <row r="9730" spans="1:1" x14ac:dyDescent="0.2">
      <c r="A9730">
        <v>0</v>
      </c>
    </row>
    <row r="9731" spans="1:1" x14ac:dyDescent="0.2">
      <c r="A9731">
        <v>0</v>
      </c>
    </row>
    <row r="9732" spans="1:1" x14ac:dyDescent="0.2">
      <c r="A9732">
        <v>0</v>
      </c>
    </row>
    <row r="9733" spans="1:1" x14ac:dyDescent="0.2">
      <c r="A9733">
        <v>0</v>
      </c>
    </row>
    <row r="9734" spans="1:1" x14ac:dyDescent="0.2">
      <c r="A9734">
        <v>0</v>
      </c>
    </row>
    <row r="9735" spans="1:1" x14ac:dyDescent="0.2">
      <c r="A9735">
        <v>0</v>
      </c>
    </row>
    <row r="9736" spans="1:1" x14ac:dyDescent="0.2">
      <c r="A9736">
        <v>0</v>
      </c>
    </row>
    <row r="9737" spans="1:1" x14ac:dyDescent="0.2">
      <c r="A9737">
        <v>0</v>
      </c>
    </row>
    <row r="9738" spans="1:1" x14ac:dyDescent="0.2">
      <c r="A9738">
        <v>0</v>
      </c>
    </row>
    <row r="9739" spans="1:1" x14ac:dyDescent="0.2">
      <c r="A9739">
        <v>0</v>
      </c>
    </row>
    <row r="9740" spans="1:1" x14ac:dyDescent="0.2">
      <c r="A9740">
        <v>0</v>
      </c>
    </row>
    <row r="9741" spans="1:1" x14ac:dyDescent="0.2">
      <c r="A9741">
        <v>0</v>
      </c>
    </row>
    <row r="9742" spans="1:1" x14ac:dyDescent="0.2">
      <c r="A9742">
        <v>0</v>
      </c>
    </row>
    <row r="9743" spans="1:1" x14ac:dyDescent="0.2">
      <c r="A9743">
        <v>0</v>
      </c>
    </row>
    <row r="9744" spans="1:1" x14ac:dyDescent="0.2">
      <c r="A9744">
        <v>0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0</v>
      </c>
    </row>
    <row r="9763" spans="1:1" x14ac:dyDescent="0.2">
      <c r="A9763">
        <v>0</v>
      </c>
    </row>
    <row r="9764" spans="1:1" x14ac:dyDescent="0.2">
      <c r="A9764">
        <v>0</v>
      </c>
    </row>
    <row r="9765" spans="1:1" x14ac:dyDescent="0.2">
      <c r="A9765">
        <v>0</v>
      </c>
    </row>
    <row r="9766" spans="1:1" x14ac:dyDescent="0.2">
      <c r="A9766">
        <v>0</v>
      </c>
    </row>
    <row r="9767" spans="1:1" x14ac:dyDescent="0.2">
      <c r="A9767">
        <v>0</v>
      </c>
    </row>
    <row r="9768" spans="1:1" x14ac:dyDescent="0.2">
      <c r="A9768">
        <v>0</v>
      </c>
    </row>
    <row r="9769" spans="1:1" x14ac:dyDescent="0.2">
      <c r="A9769">
        <v>0</v>
      </c>
    </row>
    <row r="9770" spans="1:1" x14ac:dyDescent="0.2">
      <c r="A9770">
        <v>0</v>
      </c>
    </row>
    <row r="9771" spans="1:1" x14ac:dyDescent="0.2">
      <c r="A9771">
        <v>0</v>
      </c>
    </row>
    <row r="9772" spans="1:1" x14ac:dyDescent="0.2">
      <c r="A9772">
        <v>0</v>
      </c>
    </row>
    <row r="9773" spans="1:1" x14ac:dyDescent="0.2">
      <c r="A9773">
        <v>0</v>
      </c>
    </row>
    <row r="9774" spans="1:1" x14ac:dyDescent="0.2">
      <c r="A9774">
        <v>0</v>
      </c>
    </row>
    <row r="9775" spans="1:1" x14ac:dyDescent="0.2">
      <c r="A9775">
        <v>0</v>
      </c>
    </row>
    <row r="9776" spans="1:1" x14ac:dyDescent="0.2">
      <c r="A9776">
        <v>0</v>
      </c>
    </row>
    <row r="9777" spans="1:1" x14ac:dyDescent="0.2">
      <c r="A9777">
        <v>0</v>
      </c>
    </row>
    <row r="9778" spans="1:1" x14ac:dyDescent="0.2">
      <c r="A9778">
        <v>0</v>
      </c>
    </row>
    <row r="9779" spans="1:1" x14ac:dyDescent="0.2">
      <c r="A9779">
        <v>0</v>
      </c>
    </row>
    <row r="9780" spans="1:1" x14ac:dyDescent="0.2">
      <c r="A9780">
        <v>0</v>
      </c>
    </row>
    <row r="9781" spans="1:1" x14ac:dyDescent="0.2">
      <c r="A9781">
        <v>0</v>
      </c>
    </row>
    <row r="9782" spans="1:1" x14ac:dyDescent="0.2">
      <c r="A9782">
        <v>0</v>
      </c>
    </row>
    <row r="9783" spans="1:1" x14ac:dyDescent="0.2">
      <c r="A9783">
        <v>0</v>
      </c>
    </row>
    <row r="9784" spans="1:1" x14ac:dyDescent="0.2">
      <c r="A9784">
        <v>0</v>
      </c>
    </row>
    <row r="9785" spans="1:1" x14ac:dyDescent="0.2">
      <c r="A9785">
        <v>0</v>
      </c>
    </row>
    <row r="9786" spans="1:1" x14ac:dyDescent="0.2">
      <c r="A9786">
        <v>0</v>
      </c>
    </row>
    <row r="9787" spans="1:1" x14ac:dyDescent="0.2">
      <c r="A9787">
        <v>0</v>
      </c>
    </row>
    <row r="9788" spans="1:1" x14ac:dyDescent="0.2">
      <c r="A9788">
        <v>0</v>
      </c>
    </row>
    <row r="9789" spans="1:1" x14ac:dyDescent="0.2">
      <c r="A9789">
        <v>0</v>
      </c>
    </row>
    <row r="9790" spans="1:1" x14ac:dyDescent="0.2">
      <c r="A9790">
        <v>0</v>
      </c>
    </row>
    <row r="9791" spans="1:1" x14ac:dyDescent="0.2">
      <c r="A9791">
        <v>0</v>
      </c>
    </row>
    <row r="9792" spans="1:1" x14ac:dyDescent="0.2">
      <c r="A9792">
        <v>0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0</v>
      </c>
    </row>
    <row r="9812" spans="1:1" x14ac:dyDescent="0.2">
      <c r="A9812">
        <v>0</v>
      </c>
    </row>
    <row r="9813" spans="1:1" x14ac:dyDescent="0.2">
      <c r="A9813">
        <v>0</v>
      </c>
    </row>
    <row r="9814" spans="1:1" x14ac:dyDescent="0.2">
      <c r="A9814">
        <v>0</v>
      </c>
    </row>
    <row r="9815" spans="1:1" x14ac:dyDescent="0.2">
      <c r="A9815">
        <v>0</v>
      </c>
    </row>
    <row r="9816" spans="1:1" x14ac:dyDescent="0.2">
      <c r="A9816">
        <v>0</v>
      </c>
    </row>
    <row r="9817" spans="1:1" x14ac:dyDescent="0.2">
      <c r="A9817">
        <v>0</v>
      </c>
    </row>
    <row r="9818" spans="1:1" x14ac:dyDescent="0.2">
      <c r="A9818">
        <v>0</v>
      </c>
    </row>
    <row r="9819" spans="1:1" x14ac:dyDescent="0.2">
      <c r="A9819">
        <v>0</v>
      </c>
    </row>
    <row r="9820" spans="1:1" x14ac:dyDescent="0.2">
      <c r="A9820">
        <v>0</v>
      </c>
    </row>
    <row r="9821" spans="1:1" x14ac:dyDescent="0.2">
      <c r="A9821">
        <v>0</v>
      </c>
    </row>
    <row r="9822" spans="1:1" x14ac:dyDescent="0.2">
      <c r="A9822">
        <v>0</v>
      </c>
    </row>
    <row r="9823" spans="1:1" x14ac:dyDescent="0.2">
      <c r="A9823">
        <v>0</v>
      </c>
    </row>
    <row r="9824" spans="1:1" x14ac:dyDescent="0.2">
      <c r="A9824">
        <v>0</v>
      </c>
    </row>
    <row r="9825" spans="1:1" x14ac:dyDescent="0.2">
      <c r="A9825">
        <v>0</v>
      </c>
    </row>
    <row r="9826" spans="1:1" x14ac:dyDescent="0.2">
      <c r="A9826">
        <v>0</v>
      </c>
    </row>
    <row r="9827" spans="1:1" x14ac:dyDescent="0.2">
      <c r="A9827">
        <v>0</v>
      </c>
    </row>
    <row r="9828" spans="1:1" x14ac:dyDescent="0.2">
      <c r="A9828">
        <v>0</v>
      </c>
    </row>
    <row r="9829" spans="1:1" x14ac:dyDescent="0.2">
      <c r="A9829">
        <v>0</v>
      </c>
    </row>
    <row r="9830" spans="1:1" x14ac:dyDescent="0.2">
      <c r="A9830">
        <v>0</v>
      </c>
    </row>
    <row r="9831" spans="1:1" x14ac:dyDescent="0.2">
      <c r="A9831">
        <v>0</v>
      </c>
    </row>
    <row r="9832" spans="1:1" x14ac:dyDescent="0.2">
      <c r="A9832">
        <v>0</v>
      </c>
    </row>
    <row r="9833" spans="1:1" x14ac:dyDescent="0.2">
      <c r="A9833">
        <v>0</v>
      </c>
    </row>
    <row r="9834" spans="1:1" x14ac:dyDescent="0.2">
      <c r="A9834">
        <v>0</v>
      </c>
    </row>
    <row r="9835" spans="1:1" x14ac:dyDescent="0.2">
      <c r="A9835">
        <v>0</v>
      </c>
    </row>
    <row r="9836" spans="1:1" x14ac:dyDescent="0.2">
      <c r="A9836">
        <v>0</v>
      </c>
    </row>
    <row r="9837" spans="1:1" x14ac:dyDescent="0.2">
      <c r="A9837">
        <v>0</v>
      </c>
    </row>
    <row r="9838" spans="1:1" x14ac:dyDescent="0.2">
      <c r="A9838">
        <v>0</v>
      </c>
    </row>
    <row r="9839" spans="1:1" x14ac:dyDescent="0.2">
      <c r="A9839">
        <v>0</v>
      </c>
    </row>
    <row r="9840" spans="1:1" x14ac:dyDescent="0.2">
      <c r="A9840">
        <v>0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0</v>
      </c>
    </row>
    <row r="9860" spans="1:1" x14ac:dyDescent="0.2">
      <c r="A9860">
        <v>0</v>
      </c>
    </row>
    <row r="9861" spans="1:1" x14ac:dyDescent="0.2">
      <c r="A9861">
        <v>0</v>
      </c>
    </row>
    <row r="9862" spans="1:1" x14ac:dyDescent="0.2">
      <c r="A9862">
        <v>0</v>
      </c>
    </row>
    <row r="9863" spans="1:1" x14ac:dyDescent="0.2">
      <c r="A9863">
        <v>0</v>
      </c>
    </row>
    <row r="9864" spans="1:1" x14ac:dyDescent="0.2">
      <c r="A9864">
        <v>0</v>
      </c>
    </row>
    <row r="9865" spans="1:1" x14ac:dyDescent="0.2">
      <c r="A9865">
        <v>0</v>
      </c>
    </row>
    <row r="9866" spans="1:1" x14ac:dyDescent="0.2">
      <c r="A9866">
        <v>0</v>
      </c>
    </row>
    <row r="9867" spans="1:1" x14ac:dyDescent="0.2">
      <c r="A9867">
        <v>0</v>
      </c>
    </row>
    <row r="9868" spans="1:1" x14ac:dyDescent="0.2">
      <c r="A9868">
        <v>0</v>
      </c>
    </row>
    <row r="9869" spans="1:1" x14ac:dyDescent="0.2">
      <c r="A9869">
        <v>0</v>
      </c>
    </row>
    <row r="9870" spans="1:1" x14ac:dyDescent="0.2">
      <c r="A9870">
        <v>0</v>
      </c>
    </row>
    <row r="9871" spans="1:1" x14ac:dyDescent="0.2">
      <c r="A9871">
        <v>0</v>
      </c>
    </row>
    <row r="9872" spans="1:1" x14ac:dyDescent="0.2">
      <c r="A9872">
        <v>0</v>
      </c>
    </row>
    <row r="9873" spans="1:1" x14ac:dyDescent="0.2">
      <c r="A9873">
        <v>0</v>
      </c>
    </row>
    <row r="9874" spans="1:1" x14ac:dyDescent="0.2">
      <c r="A9874">
        <v>0</v>
      </c>
    </row>
    <row r="9875" spans="1:1" x14ac:dyDescent="0.2">
      <c r="A9875">
        <v>0</v>
      </c>
    </row>
    <row r="9876" spans="1:1" x14ac:dyDescent="0.2">
      <c r="A9876">
        <v>0</v>
      </c>
    </row>
    <row r="9877" spans="1:1" x14ac:dyDescent="0.2">
      <c r="A9877">
        <v>0</v>
      </c>
    </row>
    <row r="9878" spans="1:1" x14ac:dyDescent="0.2">
      <c r="A9878">
        <v>0</v>
      </c>
    </row>
    <row r="9879" spans="1:1" x14ac:dyDescent="0.2">
      <c r="A9879">
        <v>0</v>
      </c>
    </row>
    <row r="9880" spans="1:1" x14ac:dyDescent="0.2">
      <c r="A9880">
        <v>0</v>
      </c>
    </row>
    <row r="9881" spans="1:1" x14ac:dyDescent="0.2">
      <c r="A9881">
        <v>0</v>
      </c>
    </row>
    <row r="9882" spans="1:1" x14ac:dyDescent="0.2">
      <c r="A9882">
        <v>0</v>
      </c>
    </row>
    <row r="9883" spans="1:1" x14ac:dyDescent="0.2">
      <c r="A9883">
        <v>0</v>
      </c>
    </row>
    <row r="9884" spans="1:1" x14ac:dyDescent="0.2">
      <c r="A9884">
        <v>0</v>
      </c>
    </row>
    <row r="9885" spans="1:1" x14ac:dyDescent="0.2">
      <c r="A9885">
        <v>0</v>
      </c>
    </row>
    <row r="9886" spans="1:1" x14ac:dyDescent="0.2">
      <c r="A9886">
        <v>0</v>
      </c>
    </row>
    <row r="9887" spans="1:1" x14ac:dyDescent="0.2">
      <c r="A9887">
        <v>0</v>
      </c>
    </row>
    <row r="9888" spans="1:1" x14ac:dyDescent="0.2">
      <c r="A9888">
        <v>0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0</v>
      </c>
    </row>
    <row r="9908" spans="1:1" x14ac:dyDescent="0.2">
      <c r="A9908">
        <v>0</v>
      </c>
    </row>
    <row r="9909" spans="1:1" x14ac:dyDescent="0.2">
      <c r="A9909">
        <v>0</v>
      </c>
    </row>
    <row r="9910" spans="1:1" x14ac:dyDescent="0.2">
      <c r="A9910">
        <v>0</v>
      </c>
    </row>
    <row r="9911" spans="1:1" x14ac:dyDescent="0.2">
      <c r="A9911">
        <v>0</v>
      </c>
    </row>
    <row r="9912" spans="1:1" x14ac:dyDescent="0.2">
      <c r="A9912">
        <v>0</v>
      </c>
    </row>
    <row r="9913" spans="1:1" x14ac:dyDescent="0.2">
      <c r="A9913">
        <v>0</v>
      </c>
    </row>
    <row r="9914" spans="1:1" x14ac:dyDescent="0.2">
      <c r="A9914">
        <v>0</v>
      </c>
    </row>
    <row r="9915" spans="1:1" x14ac:dyDescent="0.2">
      <c r="A9915">
        <v>0</v>
      </c>
    </row>
    <row r="9916" spans="1:1" x14ac:dyDescent="0.2">
      <c r="A9916">
        <v>0</v>
      </c>
    </row>
    <row r="9917" spans="1:1" x14ac:dyDescent="0.2">
      <c r="A9917">
        <v>0</v>
      </c>
    </row>
    <row r="9918" spans="1:1" x14ac:dyDescent="0.2">
      <c r="A9918">
        <v>0</v>
      </c>
    </row>
    <row r="9919" spans="1:1" x14ac:dyDescent="0.2">
      <c r="A9919">
        <v>0</v>
      </c>
    </row>
    <row r="9920" spans="1:1" x14ac:dyDescent="0.2">
      <c r="A9920">
        <v>0</v>
      </c>
    </row>
    <row r="9921" spans="1:1" x14ac:dyDescent="0.2">
      <c r="A9921">
        <v>0</v>
      </c>
    </row>
    <row r="9922" spans="1:1" x14ac:dyDescent="0.2">
      <c r="A9922">
        <v>0</v>
      </c>
    </row>
    <row r="9923" spans="1:1" x14ac:dyDescent="0.2">
      <c r="A9923">
        <v>0</v>
      </c>
    </row>
    <row r="9924" spans="1:1" x14ac:dyDescent="0.2">
      <c r="A9924">
        <v>0</v>
      </c>
    </row>
    <row r="9925" spans="1:1" x14ac:dyDescent="0.2">
      <c r="A9925">
        <v>0</v>
      </c>
    </row>
    <row r="9926" spans="1:1" x14ac:dyDescent="0.2">
      <c r="A9926">
        <v>0</v>
      </c>
    </row>
    <row r="9927" spans="1:1" x14ac:dyDescent="0.2">
      <c r="A9927">
        <v>0</v>
      </c>
    </row>
    <row r="9928" spans="1:1" x14ac:dyDescent="0.2">
      <c r="A9928">
        <v>0</v>
      </c>
    </row>
    <row r="9929" spans="1:1" x14ac:dyDescent="0.2">
      <c r="A9929">
        <v>0</v>
      </c>
    </row>
    <row r="9930" spans="1:1" x14ac:dyDescent="0.2">
      <c r="A9930">
        <v>0</v>
      </c>
    </row>
    <row r="9931" spans="1:1" x14ac:dyDescent="0.2">
      <c r="A9931">
        <v>0</v>
      </c>
    </row>
    <row r="9932" spans="1:1" x14ac:dyDescent="0.2">
      <c r="A9932">
        <v>0</v>
      </c>
    </row>
    <row r="9933" spans="1:1" x14ac:dyDescent="0.2">
      <c r="A9933">
        <v>0</v>
      </c>
    </row>
    <row r="9934" spans="1:1" x14ac:dyDescent="0.2">
      <c r="A9934">
        <v>0</v>
      </c>
    </row>
    <row r="9935" spans="1:1" x14ac:dyDescent="0.2">
      <c r="A9935">
        <v>0</v>
      </c>
    </row>
    <row r="9936" spans="1:1" x14ac:dyDescent="0.2">
      <c r="A9936">
        <v>0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0</v>
      </c>
    </row>
    <row r="9956" spans="1:1" x14ac:dyDescent="0.2">
      <c r="A9956">
        <v>0</v>
      </c>
    </row>
    <row r="9957" spans="1:1" x14ac:dyDescent="0.2">
      <c r="A9957">
        <v>0</v>
      </c>
    </row>
    <row r="9958" spans="1:1" x14ac:dyDescent="0.2">
      <c r="A9958">
        <v>0</v>
      </c>
    </row>
    <row r="9959" spans="1:1" x14ac:dyDescent="0.2">
      <c r="A9959">
        <v>0</v>
      </c>
    </row>
    <row r="9960" spans="1:1" x14ac:dyDescent="0.2">
      <c r="A9960">
        <v>0</v>
      </c>
    </row>
    <row r="9961" spans="1:1" x14ac:dyDescent="0.2">
      <c r="A9961">
        <v>0</v>
      </c>
    </row>
    <row r="9962" spans="1:1" x14ac:dyDescent="0.2">
      <c r="A9962">
        <v>0</v>
      </c>
    </row>
    <row r="9963" spans="1:1" x14ac:dyDescent="0.2">
      <c r="A9963">
        <v>0</v>
      </c>
    </row>
    <row r="9964" spans="1:1" x14ac:dyDescent="0.2">
      <c r="A9964">
        <v>0</v>
      </c>
    </row>
    <row r="9965" spans="1:1" x14ac:dyDescent="0.2">
      <c r="A9965">
        <v>0</v>
      </c>
    </row>
    <row r="9966" spans="1:1" x14ac:dyDescent="0.2">
      <c r="A9966">
        <v>0</v>
      </c>
    </row>
    <row r="9967" spans="1:1" x14ac:dyDescent="0.2">
      <c r="A9967">
        <v>0</v>
      </c>
    </row>
    <row r="9968" spans="1:1" x14ac:dyDescent="0.2">
      <c r="A9968">
        <v>0</v>
      </c>
    </row>
    <row r="9969" spans="1:1" x14ac:dyDescent="0.2">
      <c r="A9969">
        <v>0</v>
      </c>
    </row>
    <row r="9970" spans="1:1" x14ac:dyDescent="0.2">
      <c r="A9970">
        <v>0</v>
      </c>
    </row>
    <row r="9971" spans="1:1" x14ac:dyDescent="0.2">
      <c r="A9971">
        <v>0</v>
      </c>
    </row>
    <row r="9972" spans="1:1" x14ac:dyDescent="0.2">
      <c r="A9972">
        <v>0</v>
      </c>
    </row>
    <row r="9973" spans="1:1" x14ac:dyDescent="0.2">
      <c r="A9973">
        <v>0</v>
      </c>
    </row>
    <row r="9974" spans="1:1" x14ac:dyDescent="0.2">
      <c r="A9974">
        <v>0</v>
      </c>
    </row>
    <row r="9975" spans="1:1" x14ac:dyDescent="0.2">
      <c r="A9975">
        <v>0</v>
      </c>
    </row>
    <row r="9976" spans="1:1" x14ac:dyDescent="0.2">
      <c r="A9976">
        <v>0</v>
      </c>
    </row>
    <row r="9977" spans="1:1" x14ac:dyDescent="0.2">
      <c r="A9977">
        <v>0</v>
      </c>
    </row>
    <row r="9978" spans="1:1" x14ac:dyDescent="0.2">
      <c r="A9978">
        <v>0</v>
      </c>
    </row>
    <row r="9979" spans="1:1" x14ac:dyDescent="0.2">
      <c r="A9979">
        <v>0</v>
      </c>
    </row>
    <row r="9980" spans="1:1" x14ac:dyDescent="0.2">
      <c r="A9980">
        <v>0</v>
      </c>
    </row>
    <row r="9981" spans="1:1" x14ac:dyDescent="0.2">
      <c r="A9981">
        <v>0</v>
      </c>
    </row>
    <row r="9982" spans="1:1" x14ac:dyDescent="0.2">
      <c r="A9982">
        <v>0</v>
      </c>
    </row>
    <row r="9983" spans="1:1" x14ac:dyDescent="0.2">
      <c r="A9983">
        <v>0</v>
      </c>
    </row>
    <row r="9984" spans="1:1" x14ac:dyDescent="0.2">
      <c r="A9984">
        <v>0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</sheetData>
  <phoneticPr fontId="0" type="noConversion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5008"/>
  <sheetViews>
    <sheetView tabSelected="1" workbookViewId="0">
      <selection activeCell="A2" sqref="A2"/>
    </sheetView>
  </sheetViews>
  <sheetFormatPr defaultColWidth="8.85546875" defaultRowHeight="12.75" x14ac:dyDescent="0.2"/>
  <cols>
    <col min="4" max="4" width="12.85546875" customWidth="1"/>
    <col min="5" max="6" width="10.7109375" customWidth="1"/>
  </cols>
  <sheetData>
    <row r="1" spans="1:7" x14ac:dyDescent="0.2">
      <c r="A1" s="22" t="s">
        <v>99</v>
      </c>
    </row>
    <row r="3" spans="1:7" x14ac:dyDescent="0.2">
      <c r="A3" s="22" t="s">
        <v>93</v>
      </c>
    </row>
    <row r="4" spans="1:7" x14ac:dyDescent="0.2">
      <c r="A4" s="22" t="s">
        <v>81</v>
      </c>
    </row>
    <row r="5" spans="1:7" x14ac:dyDescent="0.2">
      <c r="A5" s="22"/>
    </row>
    <row r="6" spans="1:7" x14ac:dyDescent="0.2">
      <c r="A6" s="22"/>
    </row>
    <row r="7" spans="1:7" x14ac:dyDescent="0.2">
      <c r="A7" s="22"/>
    </row>
    <row r="8" spans="1:7" ht="25.5" customHeight="1" x14ac:dyDescent="0.2">
      <c r="A8" s="24" t="s">
        <v>79</v>
      </c>
      <c r="B8" s="25" t="s">
        <v>80</v>
      </c>
      <c r="E8" s="64" t="s">
        <v>94</v>
      </c>
      <c r="F8" s="64" t="s">
        <v>95</v>
      </c>
    </row>
    <row r="9" spans="1:7" x14ac:dyDescent="0.2">
      <c r="A9">
        <v>-4211.1321529832203</v>
      </c>
      <c r="B9">
        <v>-44750.449004636088</v>
      </c>
      <c r="D9" s="26" t="s">
        <v>77</v>
      </c>
      <c r="E9" s="28">
        <f>B258</f>
        <v>-16203.718720173056</v>
      </c>
      <c r="F9" s="28">
        <f>-E9</f>
        <v>16203.718720173056</v>
      </c>
      <c r="G9" s="22" t="s">
        <v>98</v>
      </c>
    </row>
    <row r="10" spans="1:7" x14ac:dyDescent="0.2">
      <c r="A10">
        <v>12334.221546826418</v>
      </c>
      <c r="B10">
        <v>-44636.218803002848</v>
      </c>
      <c r="D10" s="26" t="s">
        <v>78</v>
      </c>
      <c r="E10" s="28">
        <f>AVERAGE(B9:B258)</f>
        <v>-22437.885033968345</v>
      </c>
      <c r="F10" s="28">
        <f>-E10</f>
        <v>22437.885033968345</v>
      </c>
    </row>
    <row r="11" spans="1:7" x14ac:dyDescent="0.2">
      <c r="A11">
        <v>-7228.2171438318328</v>
      </c>
      <c r="B11">
        <v>-40299.908337348257</v>
      </c>
    </row>
    <row r="12" spans="1:7" x14ac:dyDescent="0.2">
      <c r="A12">
        <v>-449.522657304944</v>
      </c>
      <c r="B12">
        <v>-39606.088683624403</v>
      </c>
    </row>
    <row r="13" spans="1:7" x14ac:dyDescent="0.2">
      <c r="A13">
        <v>8982.8080724031606</v>
      </c>
      <c r="B13">
        <v>-39107.765983413206</v>
      </c>
    </row>
    <row r="14" spans="1:7" x14ac:dyDescent="0.2">
      <c r="A14">
        <v>2491.2308681156719</v>
      </c>
      <c r="B14">
        <v>-37861.932975464617</v>
      </c>
    </row>
    <row r="15" spans="1:7" x14ac:dyDescent="0.2">
      <c r="A15">
        <v>-920.1471898900927</v>
      </c>
      <c r="B15">
        <v>-37107.680215629982</v>
      </c>
    </row>
    <row r="16" spans="1:7" x14ac:dyDescent="0.2">
      <c r="A16">
        <v>6778.2291363434342</v>
      </c>
      <c r="B16">
        <v>-36012.055684973893</v>
      </c>
    </row>
    <row r="17" spans="1:2" x14ac:dyDescent="0.2">
      <c r="A17">
        <v>-14245.073541543563</v>
      </c>
      <c r="B17">
        <v>-35320.49755451706</v>
      </c>
    </row>
    <row r="18" spans="1:2" x14ac:dyDescent="0.2">
      <c r="A18">
        <v>5294.444071757287</v>
      </c>
      <c r="B18">
        <v>-35215.44633342023</v>
      </c>
    </row>
    <row r="19" spans="1:2" x14ac:dyDescent="0.2">
      <c r="A19">
        <v>10777.913300315326</v>
      </c>
      <c r="B19">
        <v>-34994.126936766726</v>
      </c>
    </row>
    <row r="20" spans="1:2" x14ac:dyDescent="0.2">
      <c r="A20">
        <v>3349.1852073336486</v>
      </c>
      <c r="B20">
        <v>-34549.379617970728</v>
      </c>
    </row>
    <row r="21" spans="1:2" x14ac:dyDescent="0.2">
      <c r="A21">
        <v>20002.749181737076</v>
      </c>
      <c r="B21">
        <v>-33731.893868938845</v>
      </c>
    </row>
    <row r="22" spans="1:2" x14ac:dyDescent="0.2">
      <c r="A22">
        <v>16515.191065951221</v>
      </c>
      <c r="B22">
        <v>-33493.195204196265</v>
      </c>
    </row>
    <row r="23" spans="1:2" x14ac:dyDescent="0.2">
      <c r="A23">
        <v>4654.1981515171065</v>
      </c>
      <c r="B23">
        <v>-33377.300527334737</v>
      </c>
    </row>
    <row r="24" spans="1:2" x14ac:dyDescent="0.2">
      <c r="A24">
        <v>31920.050209633831</v>
      </c>
      <c r="B24">
        <v>-33235.07570308313</v>
      </c>
    </row>
    <row r="25" spans="1:2" x14ac:dyDescent="0.2">
      <c r="A25">
        <v>-1507.7130911035347</v>
      </c>
      <c r="B25">
        <v>-32624.461803530343</v>
      </c>
    </row>
    <row r="26" spans="1:2" x14ac:dyDescent="0.2">
      <c r="A26">
        <v>-5994.0396944706736</v>
      </c>
      <c r="B26">
        <v>-32175.935451445926</v>
      </c>
    </row>
    <row r="27" spans="1:2" x14ac:dyDescent="0.2">
      <c r="A27">
        <v>353.94093881687149</v>
      </c>
      <c r="B27">
        <v>-32045.632876915042</v>
      </c>
    </row>
    <row r="28" spans="1:2" x14ac:dyDescent="0.2">
      <c r="A28">
        <v>-10731.140601574269</v>
      </c>
      <c r="B28">
        <v>-32021.578316579515</v>
      </c>
    </row>
    <row r="29" spans="1:2" x14ac:dyDescent="0.2">
      <c r="A29">
        <v>-7649.2042287291843</v>
      </c>
      <c r="B29">
        <v>-31500.281047386175</v>
      </c>
    </row>
    <row r="30" spans="1:2" x14ac:dyDescent="0.2">
      <c r="A30">
        <v>-1095.2062308232707</v>
      </c>
      <c r="B30">
        <v>-31352.525067135954</v>
      </c>
    </row>
    <row r="31" spans="1:2" x14ac:dyDescent="0.2">
      <c r="A31">
        <v>3989.5982818899502</v>
      </c>
      <c r="B31">
        <v>-31241.242689180304</v>
      </c>
    </row>
    <row r="32" spans="1:2" x14ac:dyDescent="0.2">
      <c r="A32">
        <v>6100.0484499665617</v>
      </c>
      <c r="B32">
        <v>-30945.403978435672</v>
      </c>
    </row>
    <row r="33" spans="1:2" x14ac:dyDescent="0.2">
      <c r="A33">
        <v>643.91986208874732</v>
      </c>
      <c r="B33">
        <v>-30765.783283281256</v>
      </c>
    </row>
    <row r="34" spans="1:2" x14ac:dyDescent="0.2">
      <c r="A34">
        <v>12591.421359793283</v>
      </c>
      <c r="B34">
        <v>-30758.880915396148</v>
      </c>
    </row>
    <row r="35" spans="1:2" x14ac:dyDescent="0.2">
      <c r="A35">
        <v>-19048.410554975097</v>
      </c>
      <c r="B35">
        <v>-30664.648657640093</v>
      </c>
    </row>
    <row r="36" spans="1:2" x14ac:dyDescent="0.2">
      <c r="A36">
        <v>2498.9484793105221</v>
      </c>
      <c r="B36">
        <v>-30406.646786541038</v>
      </c>
    </row>
    <row r="37" spans="1:2" x14ac:dyDescent="0.2">
      <c r="A37">
        <v>-22023.178980724595</v>
      </c>
      <c r="B37">
        <v>-30177.596240294457</v>
      </c>
    </row>
    <row r="38" spans="1:2" x14ac:dyDescent="0.2">
      <c r="A38">
        <v>7620.4709790684865</v>
      </c>
      <c r="B38">
        <v>-29970.578857491142</v>
      </c>
    </row>
    <row r="39" spans="1:2" x14ac:dyDescent="0.2">
      <c r="A39">
        <v>873.13562794984318</v>
      </c>
      <c r="B39">
        <v>-29552.235041844193</v>
      </c>
    </row>
    <row r="40" spans="1:2" x14ac:dyDescent="0.2">
      <c r="A40">
        <v>-2069.6309507956903</v>
      </c>
      <c r="B40">
        <v>-29509.94451325835</v>
      </c>
    </row>
    <row r="41" spans="1:2" x14ac:dyDescent="0.2">
      <c r="A41">
        <v>9859.5731175689434</v>
      </c>
      <c r="B41">
        <v>-28826.724972164317</v>
      </c>
    </row>
    <row r="42" spans="1:2" x14ac:dyDescent="0.2">
      <c r="A42">
        <v>6164.3389326643955</v>
      </c>
      <c r="B42">
        <v>-28526.257215932652</v>
      </c>
    </row>
    <row r="43" spans="1:2" x14ac:dyDescent="0.2">
      <c r="A43">
        <v>-2316.3120003148215</v>
      </c>
      <c r="B43">
        <v>-28496.250049847993</v>
      </c>
    </row>
    <row r="44" spans="1:2" x14ac:dyDescent="0.2">
      <c r="A44">
        <v>10172.38297376837</v>
      </c>
      <c r="B44">
        <v>-28419.919553889311</v>
      </c>
    </row>
    <row r="45" spans="1:2" x14ac:dyDescent="0.2">
      <c r="A45">
        <v>-22887.484546214226</v>
      </c>
      <c r="B45">
        <v>-28276.840139918379</v>
      </c>
    </row>
    <row r="46" spans="1:2" x14ac:dyDescent="0.2">
      <c r="A46">
        <v>6778.9032534546568</v>
      </c>
      <c r="B46">
        <v>-28061.702460608038</v>
      </c>
    </row>
    <row r="47" spans="1:2" x14ac:dyDescent="0.2">
      <c r="A47">
        <v>700.11768121525529</v>
      </c>
      <c r="B47">
        <v>-27847.259125642711</v>
      </c>
    </row>
    <row r="48" spans="1:2" x14ac:dyDescent="0.2">
      <c r="A48">
        <v>10333.771363415406</v>
      </c>
      <c r="B48">
        <v>-27703.497747854097</v>
      </c>
    </row>
    <row r="49" spans="1:2" x14ac:dyDescent="0.2">
      <c r="A49">
        <v>-18520.675142925873</v>
      </c>
      <c r="B49">
        <v>-27656.086524434679</v>
      </c>
    </row>
    <row r="50" spans="1:2" x14ac:dyDescent="0.2">
      <c r="A50">
        <v>7233.2632898537559</v>
      </c>
      <c r="B50">
        <v>-27615.445296805701</v>
      </c>
    </row>
    <row r="51" spans="1:2" x14ac:dyDescent="0.2">
      <c r="A51">
        <v>-784.78633969969815</v>
      </c>
      <c r="B51">
        <v>-27550.358501431125</v>
      </c>
    </row>
    <row r="52" spans="1:2" x14ac:dyDescent="0.2">
      <c r="A52">
        <v>8666.084976974671</v>
      </c>
      <c r="B52">
        <v>-27077.734060621704</v>
      </c>
    </row>
    <row r="53" spans="1:2" x14ac:dyDescent="0.2">
      <c r="A53">
        <v>6217.2200309291366</v>
      </c>
      <c r="B53">
        <v>-27039.265487411234</v>
      </c>
    </row>
    <row r="54" spans="1:2" x14ac:dyDescent="0.2">
      <c r="A54">
        <v>487.54740776729886</v>
      </c>
      <c r="B54">
        <v>-26876.807152535359</v>
      </c>
    </row>
    <row r="55" spans="1:2" x14ac:dyDescent="0.2">
      <c r="A55">
        <v>8427.3175842424098</v>
      </c>
      <c r="B55">
        <v>-26817.040930303454</v>
      </c>
    </row>
    <row r="56" spans="1:2" x14ac:dyDescent="0.2">
      <c r="A56">
        <v>13016.779280365939</v>
      </c>
      <c r="B56">
        <v>-26704.368683772918</v>
      </c>
    </row>
    <row r="57" spans="1:2" x14ac:dyDescent="0.2">
      <c r="A57">
        <v>-12318.088937760913</v>
      </c>
      <c r="B57">
        <v>-26560.01600123255</v>
      </c>
    </row>
    <row r="58" spans="1:2" x14ac:dyDescent="0.2">
      <c r="A58">
        <v>11846.321568315587</v>
      </c>
      <c r="B58">
        <v>-26484.448584814323</v>
      </c>
    </row>
    <row r="59" spans="1:2" x14ac:dyDescent="0.2">
      <c r="A59">
        <v>5910.8430807433033</v>
      </c>
      <c r="B59">
        <v>-26298.179685872281</v>
      </c>
    </row>
    <row r="60" spans="1:2" x14ac:dyDescent="0.2">
      <c r="A60">
        <v>-15503.624919099209</v>
      </c>
      <c r="B60">
        <v>-26270.942264180805</v>
      </c>
    </row>
    <row r="61" spans="1:2" x14ac:dyDescent="0.2">
      <c r="A61">
        <v>-16021.8101430565</v>
      </c>
      <c r="B61">
        <v>-26214.136852293741</v>
      </c>
    </row>
    <row r="62" spans="1:2" x14ac:dyDescent="0.2">
      <c r="A62">
        <v>-23905.74908059946</v>
      </c>
      <c r="B62">
        <v>-26194.672939800599</v>
      </c>
    </row>
    <row r="63" spans="1:2" x14ac:dyDescent="0.2">
      <c r="A63">
        <v>-4474.5067307354184</v>
      </c>
      <c r="B63">
        <v>-26161.270279863209</v>
      </c>
    </row>
    <row r="64" spans="1:2" x14ac:dyDescent="0.2">
      <c r="A64">
        <v>15522.79665932362</v>
      </c>
      <c r="B64">
        <v>-25966.55264139222</v>
      </c>
    </row>
    <row r="65" spans="1:2" x14ac:dyDescent="0.2">
      <c r="A65">
        <v>3867.8235078719736</v>
      </c>
      <c r="B65">
        <v>-25883.034940807847</v>
      </c>
    </row>
    <row r="66" spans="1:2" x14ac:dyDescent="0.2">
      <c r="A66">
        <v>1643.3070158799528</v>
      </c>
      <c r="B66">
        <v>-25841.019943314721</v>
      </c>
    </row>
    <row r="67" spans="1:2" x14ac:dyDescent="0.2">
      <c r="A67">
        <v>5081.0572737283655</v>
      </c>
      <c r="B67">
        <v>-25686.631801727402</v>
      </c>
    </row>
    <row r="68" spans="1:2" x14ac:dyDescent="0.2">
      <c r="A68">
        <v>-11007.908075268875</v>
      </c>
      <c r="B68">
        <v>-25620.105368416989</v>
      </c>
    </row>
    <row r="69" spans="1:2" x14ac:dyDescent="0.2">
      <c r="A69">
        <v>858.03476932185004</v>
      </c>
      <c r="B69">
        <v>-25616.267491266568</v>
      </c>
    </row>
    <row r="70" spans="1:2" x14ac:dyDescent="0.2">
      <c r="A70">
        <v>856.25035736375139</v>
      </c>
      <c r="B70">
        <v>-25509.731687534018</v>
      </c>
    </row>
    <row r="71" spans="1:2" x14ac:dyDescent="0.2">
      <c r="A71">
        <v>-6056.8221779799496</v>
      </c>
      <c r="B71">
        <v>-25448.575255936128</v>
      </c>
    </row>
    <row r="72" spans="1:2" x14ac:dyDescent="0.2">
      <c r="A72">
        <v>14685.116660057596</v>
      </c>
      <c r="B72">
        <v>-25343.948685243318</v>
      </c>
    </row>
    <row r="73" spans="1:2" x14ac:dyDescent="0.2">
      <c r="A73">
        <v>-40299.908337348257</v>
      </c>
      <c r="B73">
        <v>-25120.15033568861</v>
      </c>
    </row>
    <row r="74" spans="1:2" x14ac:dyDescent="0.2">
      <c r="A74">
        <v>-6903.8555583835696</v>
      </c>
      <c r="B74">
        <v>-24861.439538742008</v>
      </c>
    </row>
    <row r="75" spans="1:2" x14ac:dyDescent="0.2">
      <c r="A75">
        <v>-8995.378016316914</v>
      </c>
      <c r="B75">
        <v>-24816.352901079459</v>
      </c>
    </row>
    <row r="76" spans="1:2" x14ac:dyDescent="0.2">
      <c r="A76">
        <v>-20132.777589413454</v>
      </c>
      <c r="B76">
        <v>-24730.557992346468</v>
      </c>
    </row>
    <row r="77" spans="1:2" x14ac:dyDescent="0.2">
      <c r="A77">
        <v>4051.2965634027205</v>
      </c>
      <c r="B77">
        <v>-24689.672185441596</v>
      </c>
    </row>
    <row r="78" spans="1:2" x14ac:dyDescent="0.2">
      <c r="A78">
        <v>-3489.3923881954688</v>
      </c>
      <c r="B78">
        <v>-24665.960522278561</v>
      </c>
    </row>
    <row r="79" spans="1:2" x14ac:dyDescent="0.2">
      <c r="A79">
        <v>-2180.2454748199962</v>
      </c>
      <c r="B79">
        <v>-24618.660372969694</v>
      </c>
    </row>
    <row r="80" spans="1:2" x14ac:dyDescent="0.2">
      <c r="A80">
        <v>-4302.2848931837361</v>
      </c>
      <c r="B80">
        <v>-24468.857533280971</v>
      </c>
    </row>
    <row r="81" spans="1:2" x14ac:dyDescent="0.2">
      <c r="A81">
        <v>11951.861567395856</v>
      </c>
      <c r="B81">
        <v>-24096.638690134685</v>
      </c>
    </row>
    <row r="82" spans="1:2" x14ac:dyDescent="0.2">
      <c r="A82">
        <v>8610.5278186705254</v>
      </c>
      <c r="B82">
        <v>-23927.03560631891</v>
      </c>
    </row>
    <row r="83" spans="1:2" x14ac:dyDescent="0.2">
      <c r="A83">
        <v>9292.8028673846275</v>
      </c>
      <c r="B83">
        <v>-23905.74908059946</v>
      </c>
    </row>
    <row r="84" spans="1:2" x14ac:dyDescent="0.2">
      <c r="A84">
        <v>-8253.8608964262239</v>
      </c>
      <c r="B84">
        <v>-23871.564110616979</v>
      </c>
    </row>
    <row r="85" spans="1:2" x14ac:dyDescent="0.2">
      <c r="A85">
        <v>4198.2023437739699</v>
      </c>
      <c r="B85">
        <v>-23731.753591721295</v>
      </c>
    </row>
    <row r="86" spans="1:2" x14ac:dyDescent="0.2">
      <c r="A86">
        <v>1799.4163991780661</v>
      </c>
      <c r="B86">
        <v>-23636.049239792977</v>
      </c>
    </row>
    <row r="87" spans="1:2" x14ac:dyDescent="0.2">
      <c r="A87">
        <v>4493.8722344443377</v>
      </c>
      <c r="B87">
        <v>-23580.948676352855</v>
      </c>
    </row>
    <row r="88" spans="1:2" x14ac:dyDescent="0.2">
      <c r="A88">
        <v>-2272.847657953389</v>
      </c>
      <c r="B88">
        <v>-23469.488097639696</v>
      </c>
    </row>
    <row r="89" spans="1:2" x14ac:dyDescent="0.2">
      <c r="A89">
        <v>10727.737005114584</v>
      </c>
      <c r="B89">
        <v>-23381.508430665534</v>
      </c>
    </row>
    <row r="90" spans="1:2" x14ac:dyDescent="0.2">
      <c r="A90">
        <v>6946.0031568405684</v>
      </c>
      <c r="B90">
        <v>-23216.608552142454</v>
      </c>
    </row>
    <row r="91" spans="1:2" x14ac:dyDescent="0.2">
      <c r="A91">
        <v>-5324.676590299001</v>
      </c>
      <c r="B91">
        <v>-23193.201123080333</v>
      </c>
    </row>
    <row r="92" spans="1:2" x14ac:dyDescent="0.2">
      <c r="A92">
        <v>-6900.3301055357442</v>
      </c>
      <c r="B92">
        <v>-23039.930738144321</v>
      </c>
    </row>
    <row r="93" spans="1:2" x14ac:dyDescent="0.2">
      <c r="A93">
        <v>11321.441592524934</v>
      </c>
      <c r="B93">
        <v>-22887.484546214226</v>
      </c>
    </row>
    <row r="94" spans="1:2" x14ac:dyDescent="0.2">
      <c r="A94">
        <v>10177.757041066245</v>
      </c>
      <c r="B94">
        <v>-22882.208867888607</v>
      </c>
    </row>
    <row r="95" spans="1:2" x14ac:dyDescent="0.2">
      <c r="A95">
        <v>2286.417796978858</v>
      </c>
      <c r="B95">
        <v>-22753.29575363695</v>
      </c>
    </row>
    <row r="96" spans="1:2" x14ac:dyDescent="0.2">
      <c r="A96">
        <v>-10632.524900977733</v>
      </c>
      <c r="B96">
        <v>-22663.103681286331</v>
      </c>
    </row>
    <row r="97" spans="1:2" x14ac:dyDescent="0.2">
      <c r="A97">
        <v>5474.9298967029317</v>
      </c>
      <c r="B97">
        <v>-22660.97150663269</v>
      </c>
    </row>
    <row r="98" spans="1:2" x14ac:dyDescent="0.2">
      <c r="A98">
        <v>-2031.2616916469415</v>
      </c>
      <c r="B98">
        <v>-22607.014745686582</v>
      </c>
    </row>
    <row r="99" spans="1:2" x14ac:dyDescent="0.2">
      <c r="A99">
        <v>-2020.9029935089056</v>
      </c>
      <c r="B99">
        <v>-22578.64250989788</v>
      </c>
    </row>
    <row r="100" spans="1:2" x14ac:dyDescent="0.2">
      <c r="A100">
        <v>-776.55362089572009</v>
      </c>
      <c r="B100">
        <v>-22532.79658284242</v>
      </c>
    </row>
    <row r="101" spans="1:2" x14ac:dyDescent="0.2">
      <c r="A101">
        <v>-6599.0981103886443</v>
      </c>
      <c r="B101">
        <v>-22468.133332986617</v>
      </c>
    </row>
    <row r="102" spans="1:2" x14ac:dyDescent="0.2">
      <c r="A102">
        <v>5193.2013131823624</v>
      </c>
      <c r="B102">
        <v>-22436.345743119076</v>
      </c>
    </row>
    <row r="103" spans="1:2" x14ac:dyDescent="0.2">
      <c r="A103">
        <v>6776.8839155041205</v>
      </c>
      <c r="B103">
        <v>-22380.119760171889</v>
      </c>
    </row>
    <row r="104" spans="1:2" x14ac:dyDescent="0.2">
      <c r="A104">
        <v>4304.4459863933153</v>
      </c>
      <c r="B104">
        <v>-22341.504843379313</v>
      </c>
    </row>
    <row r="105" spans="1:2" x14ac:dyDescent="0.2">
      <c r="A105">
        <v>3667.1975822133827</v>
      </c>
      <c r="B105">
        <v>-22317.587045434571</v>
      </c>
    </row>
    <row r="106" spans="1:2" x14ac:dyDescent="0.2">
      <c r="A106">
        <v>3838.3322109545115</v>
      </c>
      <c r="B106">
        <v>-22254.953237926355</v>
      </c>
    </row>
    <row r="107" spans="1:2" x14ac:dyDescent="0.2">
      <c r="A107">
        <v>3559.5817894699576</v>
      </c>
      <c r="B107">
        <v>-22194.719980619382</v>
      </c>
    </row>
    <row r="108" spans="1:2" x14ac:dyDescent="0.2">
      <c r="A108">
        <v>-7167.7899726490723</v>
      </c>
      <c r="B108">
        <v>-22150.047204820614</v>
      </c>
    </row>
    <row r="109" spans="1:2" x14ac:dyDescent="0.2">
      <c r="A109">
        <v>6616.2665192521526</v>
      </c>
      <c r="B109">
        <v>-22129.960882977466</v>
      </c>
    </row>
    <row r="110" spans="1:2" x14ac:dyDescent="0.2">
      <c r="A110">
        <v>-16339.347296794993</v>
      </c>
      <c r="B110">
        <v>-22023.178980724595</v>
      </c>
    </row>
    <row r="111" spans="1:2" x14ac:dyDescent="0.2">
      <c r="A111">
        <v>-7784.6738614925998</v>
      </c>
      <c r="B111">
        <v>-21985.973493745027</v>
      </c>
    </row>
    <row r="112" spans="1:2" x14ac:dyDescent="0.2">
      <c r="A112">
        <v>4351.6376398884167</v>
      </c>
      <c r="B112">
        <v>-21923.60578006896</v>
      </c>
    </row>
    <row r="113" spans="1:2" x14ac:dyDescent="0.2">
      <c r="A113">
        <v>6520.3694632645056</v>
      </c>
      <c r="B113">
        <v>-21837.753228783491</v>
      </c>
    </row>
    <row r="114" spans="1:2" x14ac:dyDescent="0.2">
      <c r="A114">
        <v>-5087.3714103713282</v>
      </c>
      <c r="B114">
        <v>-21731.792368797527</v>
      </c>
    </row>
    <row r="115" spans="1:2" x14ac:dyDescent="0.2">
      <c r="A115">
        <v>17847.171694229008</v>
      </c>
      <c r="B115">
        <v>-21720.913887489703</v>
      </c>
    </row>
    <row r="116" spans="1:2" x14ac:dyDescent="0.2">
      <c r="A116">
        <v>8627.6322702096077</v>
      </c>
      <c r="B116">
        <v>-21667.391705281741</v>
      </c>
    </row>
    <row r="117" spans="1:2" x14ac:dyDescent="0.2">
      <c r="A117">
        <v>16205.306052712607</v>
      </c>
      <c r="B117">
        <v>-21614.3738365873</v>
      </c>
    </row>
    <row r="118" spans="1:2" x14ac:dyDescent="0.2">
      <c r="A118">
        <v>-5036.9609732259996</v>
      </c>
      <c r="B118">
        <v>-21498.539705228119</v>
      </c>
    </row>
    <row r="119" spans="1:2" x14ac:dyDescent="0.2">
      <c r="A119">
        <v>-7748.558640445568</v>
      </c>
      <c r="B119">
        <v>-21496.976365582319</v>
      </c>
    </row>
    <row r="120" spans="1:2" x14ac:dyDescent="0.2">
      <c r="A120">
        <v>4853.1605163870845</v>
      </c>
      <c r="B120">
        <v>-21494.453917615552</v>
      </c>
    </row>
    <row r="121" spans="1:2" x14ac:dyDescent="0.2">
      <c r="A121">
        <v>2504.7773152826994</v>
      </c>
      <c r="B121">
        <v>-21215.560493950325</v>
      </c>
    </row>
    <row r="122" spans="1:2" x14ac:dyDescent="0.2">
      <c r="A122">
        <v>12118.318744481905</v>
      </c>
      <c r="B122">
        <v>-21184.394519309804</v>
      </c>
    </row>
    <row r="123" spans="1:2" x14ac:dyDescent="0.2">
      <c r="A123">
        <v>-12452.911496806133</v>
      </c>
      <c r="B123">
        <v>-21118.997061780305</v>
      </c>
    </row>
    <row r="124" spans="1:2" x14ac:dyDescent="0.2">
      <c r="A124">
        <v>-574.16382901219185</v>
      </c>
      <c r="B124">
        <v>-20914.647264317027</v>
      </c>
    </row>
    <row r="125" spans="1:2" x14ac:dyDescent="0.2">
      <c r="A125">
        <v>-4042.2250100531674</v>
      </c>
      <c r="B125">
        <v>-20875.954690181068</v>
      </c>
    </row>
    <row r="126" spans="1:2" x14ac:dyDescent="0.2">
      <c r="A126">
        <v>-5145.9793333300622</v>
      </c>
      <c r="B126">
        <v>-20802.441132162174</v>
      </c>
    </row>
    <row r="127" spans="1:2" x14ac:dyDescent="0.2">
      <c r="A127">
        <v>-8066.330551614461</v>
      </c>
      <c r="B127">
        <v>-20697.3155728571</v>
      </c>
    </row>
    <row r="128" spans="1:2" x14ac:dyDescent="0.2">
      <c r="A128">
        <v>8483.1790104249376</v>
      </c>
      <c r="B128">
        <v>-20637.148570898047</v>
      </c>
    </row>
    <row r="129" spans="1:2" x14ac:dyDescent="0.2">
      <c r="A129">
        <v>-10682.681716280989</v>
      </c>
      <c r="B129">
        <v>-20591.238311063615</v>
      </c>
    </row>
    <row r="130" spans="1:2" x14ac:dyDescent="0.2">
      <c r="A130">
        <v>2416.3833889666712</v>
      </c>
      <c r="B130">
        <v>-20590.57415796048</v>
      </c>
    </row>
    <row r="131" spans="1:2" x14ac:dyDescent="0.2">
      <c r="A131">
        <v>13388.157772064325</v>
      </c>
      <c r="B131">
        <v>-20523.897737790539</v>
      </c>
    </row>
    <row r="132" spans="1:2" x14ac:dyDescent="0.2">
      <c r="A132">
        <v>8869.8714407443767</v>
      </c>
      <c r="B132">
        <v>-20502.397006525891</v>
      </c>
    </row>
    <row r="133" spans="1:2" x14ac:dyDescent="0.2">
      <c r="A133">
        <v>5304.6997145566565</v>
      </c>
      <c r="B133">
        <v>-20486.586238743184</v>
      </c>
    </row>
    <row r="134" spans="1:2" x14ac:dyDescent="0.2">
      <c r="A134">
        <v>-5915.2058434117353</v>
      </c>
      <c r="B134">
        <v>-20473.352532491932</v>
      </c>
    </row>
    <row r="135" spans="1:2" x14ac:dyDescent="0.2">
      <c r="A135">
        <v>17323.786620647705</v>
      </c>
      <c r="B135">
        <v>-20453.852485657961</v>
      </c>
    </row>
    <row r="136" spans="1:2" x14ac:dyDescent="0.2">
      <c r="A136">
        <v>3361.7699169109401</v>
      </c>
      <c r="B136">
        <v>-20451.710797064938</v>
      </c>
    </row>
    <row r="137" spans="1:2" x14ac:dyDescent="0.2">
      <c r="A137">
        <v>-3769.5315927979536</v>
      </c>
      <c r="B137">
        <v>-20419.362668278802</v>
      </c>
    </row>
    <row r="138" spans="1:2" x14ac:dyDescent="0.2">
      <c r="A138">
        <v>-4242.7274252345669</v>
      </c>
      <c r="B138">
        <v>-20273.74131400726</v>
      </c>
    </row>
    <row r="139" spans="1:2" x14ac:dyDescent="0.2">
      <c r="A139">
        <v>-11615.698144245835</v>
      </c>
      <c r="B139">
        <v>-20237.397744354617</v>
      </c>
    </row>
    <row r="140" spans="1:2" x14ac:dyDescent="0.2">
      <c r="A140">
        <v>-9546.1900755239767</v>
      </c>
      <c r="B140">
        <v>-20132.777589413454</v>
      </c>
    </row>
    <row r="141" spans="1:2" x14ac:dyDescent="0.2">
      <c r="A141">
        <v>-3237.4560518866638</v>
      </c>
      <c r="B141">
        <v>-20129.205971456482</v>
      </c>
    </row>
    <row r="142" spans="1:2" x14ac:dyDescent="0.2">
      <c r="A142">
        <v>7120.3400403434061</v>
      </c>
      <c r="B142">
        <v>-20085.802399600041</v>
      </c>
    </row>
    <row r="143" spans="1:2" x14ac:dyDescent="0.2">
      <c r="A143">
        <v>7825.325489976618</v>
      </c>
      <c r="B143">
        <v>-20043.733900334453</v>
      </c>
    </row>
    <row r="144" spans="1:2" x14ac:dyDescent="0.2">
      <c r="A144">
        <v>3753.8951414006297</v>
      </c>
      <c r="B144">
        <v>-20005.355563678313</v>
      </c>
    </row>
    <row r="145" spans="1:2" x14ac:dyDescent="0.2">
      <c r="A145">
        <v>14956.901969596744</v>
      </c>
      <c r="B145">
        <v>-19985.458711648884</v>
      </c>
    </row>
    <row r="146" spans="1:2" x14ac:dyDescent="0.2">
      <c r="A146">
        <v>-2626.7001104110968</v>
      </c>
      <c r="B146">
        <v>-19952.071584742749</v>
      </c>
    </row>
    <row r="147" spans="1:2" x14ac:dyDescent="0.2">
      <c r="A147">
        <v>-677.02281807904365</v>
      </c>
      <c r="B147">
        <v>-19901.221630223445</v>
      </c>
    </row>
    <row r="148" spans="1:2" x14ac:dyDescent="0.2">
      <c r="A148">
        <v>5262.160134066653</v>
      </c>
      <c r="B148">
        <v>-19897.167686350527</v>
      </c>
    </row>
    <row r="149" spans="1:2" x14ac:dyDescent="0.2">
      <c r="A149">
        <v>6344.7561258490605</v>
      </c>
      <c r="B149">
        <v>-19893.32874970854</v>
      </c>
    </row>
    <row r="150" spans="1:2" x14ac:dyDescent="0.2">
      <c r="A150">
        <v>-7700.0697337360471</v>
      </c>
      <c r="B150">
        <v>-19790.083279431274</v>
      </c>
    </row>
    <row r="151" spans="1:2" x14ac:dyDescent="0.2">
      <c r="A151">
        <v>10271.836215996242</v>
      </c>
      <c r="B151">
        <v>-19753.530886475695</v>
      </c>
    </row>
    <row r="152" spans="1:2" x14ac:dyDescent="0.2">
      <c r="A152">
        <v>8232.3411165588477</v>
      </c>
      <c r="B152">
        <v>-19746.777874963591</v>
      </c>
    </row>
    <row r="153" spans="1:2" x14ac:dyDescent="0.2">
      <c r="A153">
        <v>10389.417904116432</v>
      </c>
      <c r="B153">
        <v>-19746.186288601719</v>
      </c>
    </row>
    <row r="154" spans="1:2" x14ac:dyDescent="0.2">
      <c r="A154">
        <v>-7934.4453141497215</v>
      </c>
      <c r="B154">
        <v>-19721.126815485011</v>
      </c>
    </row>
    <row r="155" spans="1:2" x14ac:dyDescent="0.2">
      <c r="A155">
        <v>-608.36036127412808</v>
      </c>
      <c r="B155">
        <v>-19663.375577512023</v>
      </c>
    </row>
    <row r="156" spans="1:2" x14ac:dyDescent="0.2">
      <c r="A156">
        <v>8847.1162993108737</v>
      </c>
      <c r="B156">
        <v>-19609.689565044071</v>
      </c>
    </row>
    <row r="157" spans="1:2" x14ac:dyDescent="0.2">
      <c r="A157">
        <v>-3407.8959559585201</v>
      </c>
      <c r="B157">
        <v>-19608.248176745139</v>
      </c>
    </row>
    <row r="158" spans="1:2" x14ac:dyDescent="0.2">
      <c r="A158">
        <v>-4964.4691957352334</v>
      </c>
      <c r="B158">
        <v>-19599.324398045836</v>
      </c>
    </row>
    <row r="159" spans="1:2" x14ac:dyDescent="0.2">
      <c r="A159">
        <v>1661.2116144702886</v>
      </c>
      <c r="B159">
        <v>-19546.710568254523</v>
      </c>
    </row>
    <row r="160" spans="1:2" x14ac:dyDescent="0.2">
      <c r="A160">
        <v>-4402.5276514535653</v>
      </c>
      <c r="B160">
        <v>-19504.143478545127</v>
      </c>
    </row>
    <row r="161" spans="1:2" x14ac:dyDescent="0.2">
      <c r="A161">
        <v>-25343.948685243318</v>
      </c>
      <c r="B161">
        <v>-19495.718969857611</v>
      </c>
    </row>
    <row r="162" spans="1:2" x14ac:dyDescent="0.2">
      <c r="A162">
        <v>910.87246039119782</v>
      </c>
      <c r="B162">
        <v>-19474.923110227886</v>
      </c>
    </row>
    <row r="163" spans="1:2" x14ac:dyDescent="0.2">
      <c r="A163">
        <v>7397.1605651718564</v>
      </c>
      <c r="B163">
        <v>-19461.13779876972</v>
      </c>
    </row>
    <row r="164" spans="1:2" x14ac:dyDescent="0.2">
      <c r="A164">
        <v>-401.61501814759686</v>
      </c>
      <c r="B164">
        <v>-19427.788216285408</v>
      </c>
    </row>
    <row r="165" spans="1:2" x14ac:dyDescent="0.2">
      <c r="A165">
        <v>4424.8607272304071</v>
      </c>
      <c r="B165">
        <v>-19425.298326977179</v>
      </c>
    </row>
    <row r="166" spans="1:2" x14ac:dyDescent="0.2">
      <c r="A166">
        <v>12290.629092337971</v>
      </c>
      <c r="B166">
        <v>-19425.032293731289</v>
      </c>
    </row>
    <row r="167" spans="1:2" x14ac:dyDescent="0.2">
      <c r="A167">
        <v>12651.268477709935</v>
      </c>
      <c r="B167">
        <v>-19345.092999023793</v>
      </c>
    </row>
    <row r="168" spans="1:2" x14ac:dyDescent="0.2">
      <c r="A168">
        <v>-13196.970419180871</v>
      </c>
      <c r="B168">
        <v>-19310.849610910693</v>
      </c>
    </row>
    <row r="169" spans="1:2" x14ac:dyDescent="0.2">
      <c r="A169">
        <v>-4471.5079004329164</v>
      </c>
      <c r="B169">
        <v>-19306.890453250031</v>
      </c>
    </row>
    <row r="170" spans="1:2" x14ac:dyDescent="0.2">
      <c r="A170">
        <v>2987.0518402745365</v>
      </c>
      <c r="B170">
        <v>-19198.070688756707</v>
      </c>
    </row>
    <row r="171" spans="1:2" x14ac:dyDescent="0.2">
      <c r="A171">
        <v>4690.7722637103871</v>
      </c>
      <c r="B171">
        <v>-19197.716843308066</v>
      </c>
    </row>
    <row r="172" spans="1:2" x14ac:dyDescent="0.2">
      <c r="A172">
        <v>9679.7147953156382</v>
      </c>
      <c r="B172">
        <v>-19123.609307607694</v>
      </c>
    </row>
    <row r="173" spans="1:2" x14ac:dyDescent="0.2">
      <c r="A173">
        <v>-5247.4862388561596</v>
      </c>
      <c r="B173">
        <v>-19110.058418771077</v>
      </c>
    </row>
    <row r="174" spans="1:2" x14ac:dyDescent="0.2">
      <c r="A174">
        <v>-6750.9704108595033</v>
      </c>
      <c r="B174">
        <v>-19062.546490438865</v>
      </c>
    </row>
    <row r="175" spans="1:2" x14ac:dyDescent="0.2">
      <c r="A175">
        <v>1972.9904047895106</v>
      </c>
      <c r="B175">
        <v>-19048.410554975097</v>
      </c>
    </row>
    <row r="176" spans="1:2" x14ac:dyDescent="0.2">
      <c r="A176">
        <v>-28496.250049847993</v>
      </c>
      <c r="B176">
        <v>-19003.981893297168</v>
      </c>
    </row>
    <row r="177" spans="1:2" x14ac:dyDescent="0.2">
      <c r="A177">
        <v>-4258.3399767833762</v>
      </c>
      <c r="B177">
        <v>-18927.518671709811</v>
      </c>
    </row>
    <row r="178" spans="1:2" x14ac:dyDescent="0.2">
      <c r="A178">
        <v>-9076.297289120499</v>
      </c>
      <c r="B178">
        <v>-18923.378447002848</v>
      </c>
    </row>
    <row r="179" spans="1:2" x14ac:dyDescent="0.2">
      <c r="A179">
        <v>4687.4821868160507</v>
      </c>
      <c r="B179">
        <v>-18802.973906643892</v>
      </c>
    </row>
    <row r="180" spans="1:2" x14ac:dyDescent="0.2">
      <c r="A180">
        <v>-3070.3515646143351</v>
      </c>
      <c r="B180">
        <v>-18784.020844155923</v>
      </c>
    </row>
    <row r="181" spans="1:2" x14ac:dyDescent="0.2">
      <c r="A181">
        <v>-5232.3425211264985</v>
      </c>
      <c r="B181">
        <v>-18771.270425641502</v>
      </c>
    </row>
    <row r="182" spans="1:2" x14ac:dyDescent="0.2">
      <c r="A182">
        <v>6536.6631451886788</v>
      </c>
      <c r="B182">
        <v>-18678.249197646219</v>
      </c>
    </row>
    <row r="183" spans="1:2" x14ac:dyDescent="0.2">
      <c r="A183">
        <v>-5953.735239363712</v>
      </c>
      <c r="B183">
        <v>-18655.649495882564</v>
      </c>
    </row>
    <row r="184" spans="1:2" x14ac:dyDescent="0.2">
      <c r="A184">
        <v>5581.8015085286461</v>
      </c>
      <c r="B184">
        <v>-18547.576416977274</v>
      </c>
    </row>
    <row r="185" spans="1:2" x14ac:dyDescent="0.2">
      <c r="A185">
        <v>1299.4527269424871</v>
      </c>
      <c r="B185">
        <v>-18542.218196383998</v>
      </c>
    </row>
    <row r="186" spans="1:2" x14ac:dyDescent="0.2">
      <c r="A186">
        <v>3854.6428306470625</v>
      </c>
      <c r="B186">
        <v>-18520.675142925873</v>
      </c>
    </row>
    <row r="187" spans="1:2" x14ac:dyDescent="0.2">
      <c r="A187">
        <v>-7137.8056634950335</v>
      </c>
      <c r="B187">
        <v>-18505.144324600871</v>
      </c>
    </row>
    <row r="188" spans="1:2" x14ac:dyDescent="0.2">
      <c r="A188">
        <v>6575.7172370614135</v>
      </c>
      <c r="B188">
        <v>-18498.028943706362</v>
      </c>
    </row>
    <row r="189" spans="1:2" x14ac:dyDescent="0.2">
      <c r="A189">
        <v>1586.5855588948471</v>
      </c>
      <c r="B189">
        <v>-18494.711096502026</v>
      </c>
    </row>
    <row r="190" spans="1:2" x14ac:dyDescent="0.2">
      <c r="A190">
        <v>1185.7677136054845</v>
      </c>
      <c r="B190">
        <v>-18464.745617691427</v>
      </c>
    </row>
    <row r="191" spans="1:2" x14ac:dyDescent="0.2">
      <c r="A191">
        <v>-10408.722344756388</v>
      </c>
      <c r="B191">
        <v>-18402.689316787233</v>
      </c>
    </row>
    <row r="192" spans="1:2" x14ac:dyDescent="0.2">
      <c r="A192">
        <v>6125.3819838635682</v>
      </c>
      <c r="B192">
        <v>-18387.236571526329</v>
      </c>
    </row>
    <row r="193" spans="1:2" x14ac:dyDescent="0.2">
      <c r="A193">
        <v>-14745.912744584028</v>
      </c>
      <c r="B193">
        <v>-18382.822792516672</v>
      </c>
    </row>
    <row r="194" spans="1:2" x14ac:dyDescent="0.2">
      <c r="A194">
        <v>6763.5694201946899</v>
      </c>
      <c r="B194">
        <v>-18329.618336913409</v>
      </c>
    </row>
    <row r="195" spans="1:2" x14ac:dyDescent="0.2">
      <c r="A195">
        <v>-3417.1064270873321</v>
      </c>
      <c r="B195">
        <v>-18324.559351620206</v>
      </c>
    </row>
    <row r="196" spans="1:2" x14ac:dyDescent="0.2">
      <c r="A196">
        <v>14424.301341133076</v>
      </c>
      <c r="B196">
        <v>-18315.563618906017</v>
      </c>
    </row>
    <row r="197" spans="1:2" x14ac:dyDescent="0.2">
      <c r="A197">
        <v>9316.2644963085768</v>
      </c>
      <c r="B197">
        <v>-18277.06458720431</v>
      </c>
    </row>
    <row r="198" spans="1:2" x14ac:dyDescent="0.2">
      <c r="A198">
        <v>5932.8371364493214</v>
      </c>
      <c r="B198">
        <v>-18274.552473597461</v>
      </c>
    </row>
    <row r="199" spans="1:2" x14ac:dyDescent="0.2">
      <c r="A199">
        <v>958.94477703524171</v>
      </c>
      <c r="B199">
        <v>-18247.599337733933</v>
      </c>
    </row>
    <row r="200" spans="1:2" x14ac:dyDescent="0.2">
      <c r="A200">
        <v>-2911.4959598238056</v>
      </c>
      <c r="B200">
        <v>-18191.109645613236</v>
      </c>
    </row>
    <row r="201" spans="1:2" x14ac:dyDescent="0.2">
      <c r="A201">
        <v>-4999.1962601292762</v>
      </c>
      <c r="B201">
        <v>-18173.011877468263</v>
      </c>
    </row>
    <row r="202" spans="1:2" x14ac:dyDescent="0.2">
      <c r="A202">
        <v>1085.1027752285299</v>
      </c>
      <c r="B202">
        <v>-18087.023842978611</v>
      </c>
    </row>
    <row r="203" spans="1:2" x14ac:dyDescent="0.2">
      <c r="A203">
        <v>7675.3637595827458</v>
      </c>
      <c r="B203">
        <v>-18008.22687683237</v>
      </c>
    </row>
    <row r="204" spans="1:2" x14ac:dyDescent="0.2">
      <c r="A204">
        <v>-8349.1706008214387</v>
      </c>
      <c r="B204">
        <v>-17972.252561239002</v>
      </c>
    </row>
    <row r="205" spans="1:2" x14ac:dyDescent="0.2">
      <c r="A205">
        <v>11813.09000347805</v>
      </c>
      <c r="B205">
        <v>-17958.748646163411</v>
      </c>
    </row>
    <row r="206" spans="1:2" x14ac:dyDescent="0.2">
      <c r="A206">
        <v>-21494.453917615552</v>
      </c>
      <c r="B206">
        <v>-17957.631453121197</v>
      </c>
    </row>
    <row r="207" spans="1:2" x14ac:dyDescent="0.2">
      <c r="A207">
        <v>-6367.034929315676</v>
      </c>
      <c r="B207">
        <v>-17954.602877238998</v>
      </c>
    </row>
    <row r="208" spans="1:2" x14ac:dyDescent="0.2">
      <c r="A208">
        <v>-2086.8807700383768</v>
      </c>
      <c r="B208">
        <v>-17861.414636186993</v>
      </c>
    </row>
    <row r="209" spans="1:2" x14ac:dyDescent="0.2">
      <c r="A209">
        <v>-5503.1546627509233</v>
      </c>
      <c r="B209">
        <v>-17847.058827015047</v>
      </c>
    </row>
    <row r="210" spans="1:2" x14ac:dyDescent="0.2">
      <c r="A210">
        <v>10069.271979826706</v>
      </c>
      <c r="B210">
        <v>-17840.832880505943</v>
      </c>
    </row>
    <row r="211" spans="1:2" x14ac:dyDescent="0.2">
      <c r="A211">
        <v>621.13273938623024</v>
      </c>
      <c r="B211">
        <v>-17818.967524464184</v>
      </c>
    </row>
    <row r="212" spans="1:2" x14ac:dyDescent="0.2">
      <c r="A212">
        <v>3033.0339699333417</v>
      </c>
      <c r="B212">
        <v>-17776.123729942483</v>
      </c>
    </row>
    <row r="213" spans="1:2" x14ac:dyDescent="0.2">
      <c r="A213">
        <v>2374.5382863659761</v>
      </c>
      <c r="B213">
        <v>-17748.137697510305</v>
      </c>
    </row>
    <row r="214" spans="1:2" x14ac:dyDescent="0.2">
      <c r="A214">
        <v>-6945.1319322952186</v>
      </c>
      <c r="B214">
        <v>-17691.699019495049</v>
      </c>
    </row>
    <row r="215" spans="1:2" x14ac:dyDescent="0.2">
      <c r="A215">
        <v>8090.1644785073586</v>
      </c>
      <c r="B215">
        <v>-17598.907766572142</v>
      </c>
    </row>
    <row r="216" spans="1:2" x14ac:dyDescent="0.2">
      <c r="A216">
        <v>7423.1767652288836</v>
      </c>
      <c r="B216">
        <v>-17555.738807948859</v>
      </c>
    </row>
    <row r="217" spans="1:2" x14ac:dyDescent="0.2">
      <c r="A217">
        <v>4129.3215928649297</v>
      </c>
      <c r="B217">
        <v>-17553.592063152173</v>
      </c>
    </row>
    <row r="218" spans="1:2" x14ac:dyDescent="0.2">
      <c r="A218">
        <v>28853.37189936245</v>
      </c>
      <c r="B218">
        <v>-17527.746991449094</v>
      </c>
    </row>
    <row r="219" spans="1:2" x14ac:dyDescent="0.2">
      <c r="A219">
        <v>4683.1349243957666</v>
      </c>
      <c r="B219">
        <v>-17516.667462155514</v>
      </c>
    </row>
    <row r="220" spans="1:2" x14ac:dyDescent="0.2">
      <c r="A220">
        <v>13715.647675529792</v>
      </c>
      <c r="B220">
        <v>-17491.005517535377</v>
      </c>
    </row>
    <row r="221" spans="1:2" x14ac:dyDescent="0.2">
      <c r="A221">
        <v>6018.1343320109008</v>
      </c>
      <c r="B221">
        <v>-17437.612490067317</v>
      </c>
    </row>
    <row r="222" spans="1:2" x14ac:dyDescent="0.2">
      <c r="A222">
        <v>-17748.137697510305</v>
      </c>
      <c r="B222">
        <v>-17435.336493660812</v>
      </c>
    </row>
    <row r="223" spans="1:2" x14ac:dyDescent="0.2">
      <c r="A223">
        <v>-3681.7758590781013</v>
      </c>
      <c r="B223">
        <v>-17425.626237959485</v>
      </c>
    </row>
    <row r="224" spans="1:2" x14ac:dyDescent="0.2">
      <c r="A224">
        <v>10371.579589799105</v>
      </c>
      <c r="B224">
        <v>-17407.524133015162</v>
      </c>
    </row>
    <row r="225" spans="1:2" x14ac:dyDescent="0.2">
      <c r="A225">
        <v>-3521.9948176123144</v>
      </c>
      <c r="B225">
        <v>-17315.15828196553</v>
      </c>
    </row>
    <row r="226" spans="1:2" x14ac:dyDescent="0.2">
      <c r="A226">
        <v>-5891.5620667902695</v>
      </c>
      <c r="B226">
        <v>-17307.701746794104</v>
      </c>
    </row>
    <row r="227" spans="1:2" x14ac:dyDescent="0.2">
      <c r="A227">
        <v>1259.7181723571848</v>
      </c>
      <c r="B227">
        <v>-17292.783302639553</v>
      </c>
    </row>
    <row r="228" spans="1:2" x14ac:dyDescent="0.2">
      <c r="A228">
        <v>-2922.1640503550734</v>
      </c>
      <c r="B228">
        <v>-17251.754762751894</v>
      </c>
    </row>
    <row r="229" spans="1:2" x14ac:dyDescent="0.2">
      <c r="A229">
        <v>-8007.4825801253901</v>
      </c>
      <c r="B229">
        <v>-17233.557936675468</v>
      </c>
    </row>
    <row r="230" spans="1:2" x14ac:dyDescent="0.2">
      <c r="A230">
        <v>11391.041921521828</v>
      </c>
      <c r="B230">
        <v>-17153.687100214069</v>
      </c>
    </row>
    <row r="231" spans="1:2" x14ac:dyDescent="0.2">
      <c r="A231">
        <v>11474.078289480589</v>
      </c>
      <c r="B231">
        <v>-17153.6216577632</v>
      </c>
    </row>
    <row r="232" spans="1:2" x14ac:dyDescent="0.2">
      <c r="A232">
        <v>14415.86010654323</v>
      </c>
      <c r="B232">
        <v>-17149.649756182451</v>
      </c>
    </row>
    <row r="233" spans="1:2" x14ac:dyDescent="0.2">
      <c r="A233">
        <v>13567.475227074407</v>
      </c>
      <c r="B233">
        <v>-17122.813715397118</v>
      </c>
    </row>
    <row r="234" spans="1:2" x14ac:dyDescent="0.2">
      <c r="A234">
        <v>7339.8442578122485</v>
      </c>
      <c r="B234">
        <v>-17116.620241449855</v>
      </c>
    </row>
    <row r="235" spans="1:2" x14ac:dyDescent="0.2">
      <c r="A235">
        <v>16792.964559519984</v>
      </c>
      <c r="B235">
        <v>-17093.647084221127</v>
      </c>
    </row>
    <row r="236" spans="1:2" x14ac:dyDescent="0.2">
      <c r="A236">
        <v>13512.654913388309</v>
      </c>
      <c r="B236">
        <v>-17048.153721407987</v>
      </c>
    </row>
    <row r="237" spans="1:2" x14ac:dyDescent="0.2">
      <c r="A237">
        <v>-2875.3261887278641</v>
      </c>
      <c r="B237">
        <v>-16966.496064189763</v>
      </c>
    </row>
    <row r="238" spans="1:2" x14ac:dyDescent="0.2">
      <c r="A238">
        <v>16067.857230902096</v>
      </c>
      <c r="B238">
        <v>-16927.854951564572</v>
      </c>
    </row>
    <row r="239" spans="1:2" x14ac:dyDescent="0.2">
      <c r="A239">
        <v>13827.165902755398</v>
      </c>
      <c r="B239">
        <v>-16882.430192473927</v>
      </c>
    </row>
    <row r="240" spans="1:2" x14ac:dyDescent="0.2">
      <c r="A240">
        <v>10186.586134041718</v>
      </c>
      <c r="B240">
        <v>-16870.364600055676</v>
      </c>
    </row>
    <row r="241" spans="1:2" x14ac:dyDescent="0.2">
      <c r="A241">
        <v>7792.032006583293</v>
      </c>
      <c r="B241">
        <v>-16864.10377185879</v>
      </c>
    </row>
    <row r="242" spans="1:2" x14ac:dyDescent="0.2">
      <c r="A242">
        <v>6515.0989137899014</v>
      </c>
      <c r="B242">
        <v>-16833.9873424283</v>
      </c>
    </row>
    <row r="243" spans="1:2" x14ac:dyDescent="0.2">
      <c r="A243">
        <v>4063.6377617866383</v>
      </c>
      <c r="B243">
        <v>-16824.230768947164</v>
      </c>
    </row>
    <row r="244" spans="1:2" x14ac:dyDescent="0.2">
      <c r="A244">
        <v>5360.0408050828264</v>
      </c>
      <c r="B244">
        <v>-16695.110965028522</v>
      </c>
    </row>
    <row r="245" spans="1:2" x14ac:dyDescent="0.2">
      <c r="A245">
        <v>20275.523320617474</v>
      </c>
      <c r="B245">
        <v>-16691.431694103056</v>
      </c>
    </row>
    <row r="246" spans="1:2" x14ac:dyDescent="0.2">
      <c r="A246">
        <v>-2053.3853779482888</v>
      </c>
      <c r="B246">
        <v>-16667.369764275209</v>
      </c>
    </row>
    <row r="247" spans="1:2" x14ac:dyDescent="0.2">
      <c r="A247">
        <v>5423.3273652962525</v>
      </c>
      <c r="B247">
        <v>-16663.437713555351</v>
      </c>
    </row>
    <row r="248" spans="1:2" x14ac:dyDescent="0.2">
      <c r="A248">
        <v>305.39360659805243</v>
      </c>
      <c r="B248">
        <v>-16659.486013644258</v>
      </c>
    </row>
    <row r="249" spans="1:2" x14ac:dyDescent="0.2">
      <c r="A249">
        <v>14125.889981134766</v>
      </c>
      <c r="B249">
        <v>-16658.201604505593</v>
      </c>
    </row>
    <row r="250" spans="1:2" x14ac:dyDescent="0.2">
      <c r="A250">
        <v>-2502.5549908502726</v>
      </c>
      <c r="B250">
        <v>-16650.807006776537</v>
      </c>
    </row>
    <row r="251" spans="1:2" x14ac:dyDescent="0.2">
      <c r="A251">
        <v>-18191.109645613236</v>
      </c>
      <c r="B251">
        <v>-16648.232109089266</v>
      </c>
    </row>
    <row r="252" spans="1:2" x14ac:dyDescent="0.2">
      <c r="A252">
        <v>5336.1744109371502</v>
      </c>
      <c r="B252">
        <v>-16593.80440887413</v>
      </c>
    </row>
    <row r="253" spans="1:2" x14ac:dyDescent="0.2">
      <c r="A253">
        <v>538.89184972620569</v>
      </c>
      <c r="B253">
        <v>-16530.07364971214</v>
      </c>
    </row>
    <row r="254" spans="1:2" x14ac:dyDescent="0.2">
      <c r="A254">
        <v>1152.9414936523826</v>
      </c>
      <c r="B254">
        <v>-16410.789805385284</v>
      </c>
    </row>
    <row r="255" spans="1:2" x14ac:dyDescent="0.2">
      <c r="A255">
        <v>8165.0462234416045</v>
      </c>
      <c r="B255">
        <v>-16377.347085064976</v>
      </c>
    </row>
    <row r="256" spans="1:2" x14ac:dyDescent="0.2">
      <c r="A256">
        <v>-3037.9744665979524</v>
      </c>
      <c r="B256">
        <v>-16339.347296794993</v>
      </c>
    </row>
    <row r="257" spans="1:2" x14ac:dyDescent="0.2">
      <c r="A257">
        <v>5423.6484281454177</v>
      </c>
      <c r="B257">
        <v>-16332.545408701058</v>
      </c>
    </row>
    <row r="258" spans="1:2" x14ac:dyDescent="0.2">
      <c r="A258">
        <v>5175.6943380670273</v>
      </c>
      <c r="B258">
        <v>-16203.718720173056</v>
      </c>
    </row>
    <row r="259" spans="1:2" x14ac:dyDescent="0.2">
      <c r="A259">
        <v>902.0542388856411</v>
      </c>
      <c r="B259">
        <v>-16197.972821257543</v>
      </c>
    </row>
    <row r="260" spans="1:2" x14ac:dyDescent="0.2">
      <c r="A260">
        <v>-7013.8931172788434</v>
      </c>
      <c r="B260">
        <v>-16184.141251170484</v>
      </c>
    </row>
    <row r="261" spans="1:2" x14ac:dyDescent="0.2">
      <c r="A261">
        <v>1236.1371367779211</v>
      </c>
      <c r="B261">
        <v>-16124.072308714152</v>
      </c>
    </row>
    <row r="262" spans="1:2" x14ac:dyDescent="0.2">
      <c r="A262">
        <v>-944.39911363364081</v>
      </c>
      <c r="B262">
        <v>-16093.35047380958</v>
      </c>
    </row>
    <row r="263" spans="1:2" x14ac:dyDescent="0.2">
      <c r="A263">
        <v>17379.483445863996</v>
      </c>
      <c r="B263">
        <v>-16075.440908311226</v>
      </c>
    </row>
    <row r="264" spans="1:2" x14ac:dyDescent="0.2">
      <c r="A264">
        <v>7426.6540532213985</v>
      </c>
      <c r="B264">
        <v>-16062.264790171292</v>
      </c>
    </row>
    <row r="265" spans="1:2" x14ac:dyDescent="0.2">
      <c r="A265">
        <v>-11655.927031828614</v>
      </c>
      <c r="B265">
        <v>-16046.678748784907</v>
      </c>
    </row>
    <row r="266" spans="1:2" x14ac:dyDescent="0.2">
      <c r="A266">
        <v>6884.6178986945888</v>
      </c>
      <c r="B266">
        <v>-16021.8101430565</v>
      </c>
    </row>
    <row r="267" spans="1:2" x14ac:dyDescent="0.2">
      <c r="A267">
        <v>5259.6161132569832</v>
      </c>
      <c r="B267">
        <v>-15994.450357251713</v>
      </c>
    </row>
    <row r="268" spans="1:2" x14ac:dyDescent="0.2">
      <c r="A268">
        <v>16279.437525410001</v>
      </c>
      <c r="B268">
        <v>-15993.800267078128</v>
      </c>
    </row>
    <row r="269" spans="1:2" x14ac:dyDescent="0.2">
      <c r="A269">
        <v>-5689.2380734357284</v>
      </c>
      <c r="B269">
        <v>-15989.210081994184</v>
      </c>
    </row>
    <row r="270" spans="1:2" x14ac:dyDescent="0.2">
      <c r="A270">
        <v>-13908.004848348908</v>
      </c>
      <c r="B270">
        <v>-15957.461725773057</v>
      </c>
    </row>
    <row r="271" spans="1:2" x14ac:dyDescent="0.2">
      <c r="A271">
        <v>5938.7925254657748</v>
      </c>
      <c r="B271">
        <v>-15956.954890860245</v>
      </c>
    </row>
    <row r="272" spans="1:2" x14ac:dyDescent="0.2">
      <c r="A272">
        <v>6999.2978420836153</v>
      </c>
      <c r="B272">
        <v>-15948.370395552774</v>
      </c>
    </row>
    <row r="273" spans="1:2" x14ac:dyDescent="0.2">
      <c r="A273">
        <v>-1433.643459259707</v>
      </c>
      <c r="B273">
        <v>-15935.941687072278</v>
      </c>
    </row>
    <row r="274" spans="1:2" x14ac:dyDescent="0.2">
      <c r="A274">
        <v>6164.9544795908732</v>
      </c>
      <c r="B274">
        <v>-15858.499764410371</v>
      </c>
    </row>
    <row r="275" spans="1:2" x14ac:dyDescent="0.2">
      <c r="A275">
        <v>18716.835137148097</v>
      </c>
      <c r="B275">
        <v>-15793.336365707451</v>
      </c>
    </row>
    <row r="276" spans="1:2" x14ac:dyDescent="0.2">
      <c r="A276">
        <v>-4939.4112850067904</v>
      </c>
      <c r="B276">
        <v>-15785.296235887508</v>
      </c>
    </row>
    <row r="277" spans="1:2" x14ac:dyDescent="0.2">
      <c r="A277">
        <v>-3210.9936972293654</v>
      </c>
      <c r="B277">
        <v>-15785.109352756292</v>
      </c>
    </row>
    <row r="278" spans="1:2" x14ac:dyDescent="0.2">
      <c r="A278">
        <v>-10975.243360779714</v>
      </c>
      <c r="B278">
        <v>-15714.896580436558</v>
      </c>
    </row>
    <row r="279" spans="1:2" x14ac:dyDescent="0.2">
      <c r="A279">
        <v>14865.644902849774</v>
      </c>
      <c r="B279">
        <v>-15625.710242307396</v>
      </c>
    </row>
    <row r="280" spans="1:2" x14ac:dyDescent="0.2">
      <c r="A280">
        <v>-14844.410666131938</v>
      </c>
      <c r="B280">
        <v>-15620.843944990833</v>
      </c>
    </row>
    <row r="281" spans="1:2" x14ac:dyDescent="0.2">
      <c r="A281">
        <v>-13563.340575578302</v>
      </c>
      <c r="B281">
        <v>-15546.723884387</v>
      </c>
    </row>
    <row r="282" spans="1:2" x14ac:dyDescent="0.2">
      <c r="A282">
        <v>-14905.021961021383</v>
      </c>
      <c r="B282">
        <v>-15503.624919099209</v>
      </c>
    </row>
    <row r="283" spans="1:2" x14ac:dyDescent="0.2">
      <c r="A283">
        <v>19346.005667066318</v>
      </c>
      <c r="B283">
        <v>-15502.216050860821</v>
      </c>
    </row>
    <row r="284" spans="1:2" x14ac:dyDescent="0.2">
      <c r="A284">
        <v>4861.916669480619</v>
      </c>
      <c r="B284">
        <v>-15478.211339902424</v>
      </c>
    </row>
    <row r="285" spans="1:2" x14ac:dyDescent="0.2">
      <c r="A285">
        <v>-3216.0096157997323</v>
      </c>
      <c r="B285">
        <v>-15372.413114487455</v>
      </c>
    </row>
    <row r="286" spans="1:2" x14ac:dyDescent="0.2">
      <c r="A286">
        <v>990.4042284458119</v>
      </c>
      <c r="B286">
        <v>-15334.300631702237</v>
      </c>
    </row>
    <row r="287" spans="1:2" x14ac:dyDescent="0.2">
      <c r="A287">
        <v>5903.2605331261584</v>
      </c>
      <c r="B287">
        <v>-15281.616181830759</v>
      </c>
    </row>
    <row r="288" spans="1:2" x14ac:dyDescent="0.2">
      <c r="A288">
        <v>7156.2748525039933</v>
      </c>
      <c r="B288">
        <v>-15234.588088932418</v>
      </c>
    </row>
    <row r="289" spans="1:2" x14ac:dyDescent="0.2">
      <c r="A289">
        <v>10606.889954654034</v>
      </c>
      <c r="B289">
        <v>-15212.315843748278</v>
      </c>
    </row>
    <row r="290" spans="1:2" x14ac:dyDescent="0.2">
      <c r="A290">
        <v>5789.124214185169</v>
      </c>
      <c r="B290">
        <v>-15202.989325549046</v>
      </c>
    </row>
    <row r="291" spans="1:2" x14ac:dyDescent="0.2">
      <c r="A291">
        <v>-11883.335247050592</v>
      </c>
      <c r="B291">
        <v>-15193.619799859996</v>
      </c>
    </row>
    <row r="292" spans="1:2" x14ac:dyDescent="0.2">
      <c r="A292">
        <v>-26214.136852293741</v>
      </c>
      <c r="B292">
        <v>-15164.29175288073</v>
      </c>
    </row>
    <row r="293" spans="1:2" x14ac:dyDescent="0.2">
      <c r="A293">
        <v>3323.430702731479</v>
      </c>
      <c r="B293">
        <v>-15159.839467983868</v>
      </c>
    </row>
    <row r="294" spans="1:2" x14ac:dyDescent="0.2">
      <c r="A294">
        <v>5135.2759253204567</v>
      </c>
      <c r="B294">
        <v>-15146.2862795486</v>
      </c>
    </row>
    <row r="295" spans="1:2" x14ac:dyDescent="0.2">
      <c r="A295">
        <v>15197.687742357361</v>
      </c>
      <c r="B295">
        <v>-15110.577041168115</v>
      </c>
    </row>
    <row r="296" spans="1:2" x14ac:dyDescent="0.2">
      <c r="A296">
        <v>7507.6032332814648</v>
      </c>
      <c r="B296">
        <v>-15085.316117079579</v>
      </c>
    </row>
    <row r="297" spans="1:2" x14ac:dyDescent="0.2">
      <c r="A297">
        <v>8264.7678808231722</v>
      </c>
      <c r="B297">
        <v>-15050.775969695766</v>
      </c>
    </row>
    <row r="298" spans="1:2" x14ac:dyDescent="0.2">
      <c r="A298">
        <v>3651.0686972770782</v>
      </c>
      <c r="B298">
        <v>-15043.544299556932</v>
      </c>
    </row>
    <row r="299" spans="1:2" x14ac:dyDescent="0.2">
      <c r="A299">
        <v>-7595.5185559676029</v>
      </c>
      <c r="B299">
        <v>-15041.002160679491</v>
      </c>
    </row>
    <row r="300" spans="1:2" x14ac:dyDescent="0.2">
      <c r="A300">
        <v>231.40407357437653</v>
      </c>
      <c r="B300">
        <v>-15011.954991535807</v>
      </c>
    </row>
    <row r="301" spans="1:2" x14ac:dyDescent="0.2">
      <c r="A301">
        <v>25994.559795870708</v>
      </c>
      <c r="B301">
        <v>-14991.820158930816</v>
      </c>
    </row>
    <row r="302" spans="1:2" x14ac:dyDescent="0.2">
      <c r="A302">
        <v>8347.9979805022012</v>
      </c>
      <c r="B302">
        <v>-14952.744440292096</v>
      </c>
    </row>
    <row r="303" spans="1:2" x14ac:dyDescent="0.2">
      <c r="A303">
        <v>-1088.5806094326836</v>
      </c>
      <c r="B303">
        <v>-14905.021961021383</v>
      </c>
    </row>
    <row r="304" spans="1:2" x14ac:dyDescent="0.2">
      <c r="A304">
        <v>-2305.1877400131489</v>
      </c>
      <c r="B304">
        <v>-14872.310906015278</v>
      </c>
    </row>
    <row r="305" spans="1:2" x14ac:dyDescent="0.2">
      <c r="A305">
        <v>-6496.7089706457336</v>
      </c>
      <c r="B305">
        <v>-14844.410666131938</v>
      </c>
    </row>
    <row r="306" spans="1:2" x14ac:dyDescent="0.2">
      <c r="A306">
        <v>1994.315321835631</v>
      </c>
      <c r="B306">
        <v>-14841.559544634481</v>
      </c>
    </row>
    <row r="307" spans="1:2" x14ac:dyDescent="0.2">
      <c r="A307">
        <v>16660.381210590451</v>
      </c>
      <c r="B307">
        <v>-14831.74188897782</v>
      </c>
    </row>
    <row r="308" spans="1:2" x14ac:dyDescent="0.2">
      <c r="A308">
        <v>11947.174104666687</v>
      </c>
      <c r="B308">
        <v>-14827.374342134513</v>
      </c>
    </row>
    <row r="309" spans="1:2" x14ac:dyDescent="0.2">
      <c r="A309">
        <v>8907.6069778348901</v>
      </c>
      <c r="B309">
        <v>-14783.380972491344</v>
      </c>
    </row>
    <row r="310" spans="1:2" x14ac:dyDescent="0.2">
      <c r="A310">
        <v>11234.044654207421</v>
      </c>
      <c r="B310">
        <v>-14745.912744584028</v>
      </c>
    </row>
    <row r="311" spans="1:2" x14ac:dyDescent="0.2">
      <c r="A311">
        <v>-1874.8085023697349</v>
      </c>
      <c r="B311">
        <v>-14743.242450248741</v>
      </c>
    </row>
    <row r="312" spans="1:2" x14ac:dyDescent="0.2">
      <c r="A312">
        <v>-3652.9670600756654</v>
      </c>
      <c r="B312">
        <v>-14662.070073882758</v>
      </c>
    </row>
    <row r="313" spans="1:2" x14ac:dyDescent="0.2">
      <c r="A313">
        <v>7709.5074001313478</v>
      </c>
      <c r="B313">
        <v>-14617.5865643734</v>
      </c>
    </row>
    <row r="314" spans="1:2" x14ac:dyDescent="0.2">
      <c r="A314">
        <v>-10060.570311480609</v>
      </c>
      <c r="B314">
        <v>-14612.375064144202</v>
      </c>
    </row>
    <row r="315" spans="1:2" x14ac:dyDescent="0.2">
      <c r="A315">
        <v>-5370.5752566559531</v>
      </c>
      <c r="B315">
        <v>-14595.598014314717</v>
      </c>
    </row>
    <row r="316" spans="1:2" x14ac:dyDescent="0.2">
      <c r="A316">
        <v>2099.3075049037579</v>
      </c>
      <c r="B316">
        <v>-14572.136034000112</v>
      </c>
    </row>
    <row r="317" spans="1:2" x14ac:dyDescent="0.2">
      <c r="A317">
        <v>-14612.375064144202</v>
      </c>
      <c r="B317">
        <v>-14558.491907556541</v>
      </c>
    </row>
    <row r="318" spans="1:2" x14ac:dyDescent="0.2">
      <c r="A318">
        <v>14346.178508273093</v>
      </c>
      <c r="B318">
        <v>-14540.374293698522</v>
      </c>
    </row>
    <row r="319" spans="1:2" x14ac:dyDescent="0.2">
      <c r="A319">
        <v>3718.7723214908619</v>
      </c>
      <c r="B319">
        <v>-14471.269535710133</v>
      </c>
    </row>
    <row r="320" spans="1:2" x14ac:dyDescent="0.2">
      <c r="A320">
        <v>16658.493574934138</v>
      </c>
      <c r="B320">
        <v>-14445.601713078329</v>
      </c>
    </row>
    <row r="321" spans="1:2" x14ac:dyDescent="0.2">
      <c r="A321">
        <v>5970.461577500595</v>
      </c>
      <c r="B321">
        <v>-14406.001339307521</v>
      </c>
    </row>
    <row r="322" spans="1:2" x14ac:dyDescent="0.2">
      <c r="A322">
        <v>-2784.6386984261335</v>
      </c>
      <c r="B322">
        <v>-14362.229144165874</v>
      </c>
    </row>
    <row r="323" spans="1:2" x14ac:dyDescent="0.2">
      <c r="A323">
        <v>-4202.3294296761596</v>
      </c>
      <c r="B323">
        <v>-14324.34211877716</v>
      </c>
    </row>
    <row r="324" spans="1:2" x14ac:dyDescent="0.2">
      <c r="A324">
        <v>-434.87539873484639</v>
      </c>
      <c r="B324">
        <v>-14305.574767333193</v>
      </c>
    </row>
    <row r="325" spans="1:2" x14ac:dyDescent="0.2">
      <c r="A325">
        <v>-953.7515114233538</v>
      </c>
      <c r="B325">
        <v>-14304.228960166714</v>
      </c>
    </row>
    <row r="326" spans="1:2" x14ac:dyDescent="0.2">
      <c r="A326">
        <v>6237.3266793733346</v>
      </c>
      <c r="B326">
        <v>-14295.667481636978</v>
      </c>
    </row>
    <row r="327" spans="1:2" x14ac:dyDescent="0.2">
      <c r="A327">
        <v>-11376.292123349529</v>
      </c>
      <c r="B327">
        <v>-14289.802527886874</v>
      </c>
    </row>
    <row r="328" spans="1:2" x14ac:dyDescent="0.2">
      <c r="A328">
        <v>19157.623612251715</v>
      </c>
      <c r="B328">
        <v>-14278.956654531125</v>
      </c>
    </row>
    <row r="329" spans="1:2" x14ac:dyDescent="0.2">
      <c r="A329">
        <v>11032.121992743283</v>
      </c>
      <c r="B329">
        <v>-14245.073541543563</v>
      </c>
    </row>
    <row r="330" spans="1:2" x14ac:dyDescent="0.2">
      <c r="A330">
        <v>-13803.083220798115</v>
      </c>
      <c r="B330">
        <v>-14226.556842308666</v>
      </c>
    </row>
    <row r="331" spans="1:2" x14ac:dyDescent="0.2">
      <c r="A331">
        <v>-21923.60578006896</v>
      </c>
      <c r="B331">
        <v>-14221.64718785102</v>
      </c>
    </row>
    <row r="332" spans="1:2" x14ac:dyDescent="0.2">
      <c r="A332">
        <v>5657.3277259243187</v>
      </c>
      <c r="B332">
        <v>-14217.943481919414</v>
      </c>
    </row>
    <row r="333" spans="1:2" x14ac:dyDescent="0.2">
      <c r="A333">
        <v>-1947.1972854825435</v>
      </c>
      <c r="B333">
        <v>-14210.391835809976</v>
      </c>
    </row>
    <row r="334" spans="1:2" x14ac:dyDescent="0.2">
      <c r="A334">
        <v>-11833.908115063212</v>
      </c>
      <c r="B334">
        <v>-14168.299308190006</v>
      </c>
    </row>
    <row r="335" spans="1:2" x14ac:dyDescent="0.2">
      <c r="A335">
        <v>-9363.3793698721274</v>
      </c>
      <c r="B335">
        <v>-14156.077098309499</v>
      </c>
    </row>
    <row r="336" spans="1:2" x14ac:dyDescent="0.2">
      <c r="A336">
        <v>5783.7635430247465</v>
      </c>
      <c r="B336">
        <v>-14150.762517767842</v>
      </c>
    </row>
    <row r="337" spans="1:2" x14ac:dyDescent="0.2">
      <c r="A337">
        <v>12203.182401412225</v>
      </c>
      <c r="B337">
        <v>-14105.124574736634</v>
      </c>
    </row>
    <row r="338" spans="1:2" x14ac:dyDescent="0.2">
      <c r="A338">
        <v>-7549.2904362810077</v>
      </c>
      <c r="B338">
        <v>-14096.589338061487</v>
      </c>
    </row>
    <row r="339" spans="1:2" x14ac:dyDescent="0.2">
      <c r="A339">
        <v>2530.9672193213773</v>
      </c>
      <c r="B339">
        <v>-14082.202778213948</v>
      </c>
    </row>
    <row r="340" spans="1:2" x14ac:dyDescent="0.2">
      <c r="A340">
        <v>1699.7473240547697</v>
      </c>
      <c r="B340">
        <v>-13988.554851925117</v>
      </c>
    </row>
    <row r="341" spans="1:2" x14ac:dyDescent="0.2">
      <c r="A341">
        <v>10410.7532111092</v>
      </c>
      <c r="B341">
        <v>-13982.507919271942</v>
      </c>
    </row>
    <row r="342" spans="1:2" x14ac:dyDescent="0.2">
      <c r="A342">
        <v>2101.7020673945663</v>
      </c>
      <c r="B342">
        <v>-13922.682533702988</v>
      </c>
    </row>
    <row r="343" spans="1:2" x14ac:dyDescent="0.2">
      <c r="A343">
        <v>8664.0025829267106</v>
      </c>
      <c r="B343">
        <v>-13908.004848348908</v>
      </c>
    </row>
    <row r="344" spans="1:2" x14ac:dyDescent="0.2">
      <c r="A344">
        <v>4788.1660244702944</v>
      </c>
      <c r="B344">
        <v>-13904.796014346357</v>
      </c>
    </row>
    <row r="345" spans="1:2" x14ac:dyDescent="0.2">
      <c r="A345">
        <v>318.26857667899458</v>
      </c>
      <c r="B345">
        <v>-13877.820402423793</v>
      </c>
    </row>
    <row r="346" spans="1:2" x14ac:dyDescent="0.2">
      <c r="A346">
        <v>7090.5412753577693</v>
      </c>
      <c r="B346">
        <v>-13868.34115258063</v>
      </c>
    </row>
    <row r="347" spans="1:2" x14ac:dyDescent="0.2">
      <c r="A347">
        <v>-87.560710954450769</v>
      </c>
      <c r="B347">
        <v>-13835.884457587526</v>
      </c>
    </row>
    <row r="348" spans="1:2" x14ac:dyDescent="0.2">
      <c r="A348">
        <v>8448.9232349524973</v>
      </c>
      <c r="B348">
        <v>-13833.622101523215</v>
      </c>
    </row>
    <row r="349" spans="1:2" x14ac:dyDescent="0.2">
      <c r="A349">
        <v>13371.194150569179</v>
      </c>
      <c r="B349">
        <v>-13825.893770923489</v>
      </c>
    </row>
    <row r="350" spans="1:2" x14ac:dyDescent="0.2">
      <c r="A350">
        <v>6122.212904570566</v>
      </c>
      <c r="B350">
        <v>-13803.083220798115</v>
      </c>
    </row>
    <row r="351" spans="1:2" x14ac:dyDescent="0.2">
      <c r="A351">
        <v>12274.236430660851</v>
      </c>
      <c r="B351">
        <v>-13791.597016875923</v>
      </c>
    </row>
    <row r="352" spans="1:2" x14ac:dyDescent="0.2">
      <c r="A352">
        <v>10932.066992929875</v>
      </c>
      <c r="B352">
        <v>-13748.523866746516</v>
      </c>
    </row>
    <row r="353" spans="1:2" x14ac:dyDescent="0.2">
      <c r="A353">
        <v>-16882.430192473927</v>
      </c>
      <c r="B353">
        <v>-13706.949780044553</v>
      </c>
    </row>
    <row r="354" spans="1:2" x14ac:dyDescent="0.2">
      <c r="A354">
        <v>4702.8870777899865</v>
      </c>
      <c r="B354">
        <v>-13699.971363713907</v>
      </c>
    </row>
    <row r="355" spans="1:2" x14ac:dyDescent="0.2">
      <c r="A355">
        <v>6699.7208288997645</v>
      </c>
      <c r="B355">
        <v>-13692.16341923509</v>
      </c>
    </row>
    <row r="356" spans="1:2" x14ac:dyDescent="0.2">
      <c r="A356">
        <v>-6197.0307781521988</v>
      </c>
      <c r="B356">
        <v>-13649.007314239963</v>
      </c>
    </row>
    <row r="357" spans="1:2" x14ac:dyDescent="0.2">
      <c r="A357">
        <v>-12534.983284197282</v>
      </c>
      <c r="B357">
        <v>-13642.164640929783</v>
      </c>
    </row>
    <row r="358" spans="1:2" x14ac:dyDescent="0.2">
      <c r="A358">
        <v>7190.1446117023006</v>
      </c>
      <c r="B358">
        <v>-13610.429954203515</v>
      </c>
    </row>
    <row r="359" spans="1:2" x14ac:dyDescent="0.2">
      <c r="A359">
        <v>5914.6376804040046</v>
      </c>
      <c r="B359">
        <v>-13563.340575578302</v>
      </c>
    </row>
    <row r="360" spans="1:2" x14ac:dyDescent="0.2">
      <c r="A360">
        <v>19212.573762843676</v>
      </c>
      <c r="B360">
        <v>-13554.136333090777</v>
      </c>
    </row>
    <row r="361" spans="1:2" x14ac:dyDescent="0.2">
      <c r="A361">
        <v>12098.254265101976</v>
      </c>
      <c r="B361">
        <v>-13525.989522254036</v>
      </c>
    </row>
    <row r="362" spans="1:2" x14ac:dyDescent="0.2">
      <c r="A362">
        <v>4384.0235383191903</v>
      </c>
      <c r="B362">
        <v>-13523.293970971368</v>
      </c>
    </row>
    <row r="363" spans="1:2" x14ac:dyDescent="0.2">
      <c r="A363">
        <v>1306.9335190216079</v>
      </c>
      <c r="B363">
        <v>-13502.954267028836</v>
      </c>
    </row>
    <row r="364" spans="1:2" x14ac:dyDescent="0.2">
      <c r="A364">
        <v>9468.0096319688892</v>
      </c>
      <c r="B364">
        <v>-13502.074197270558</v>
      </c>
    </row>
    <row r="365" spans="1:2" x14ac:dyDescent="0.2">
      <c r="A365">
        <v>5439.8763973022287</v>
      </c>
      <c r="B365">
        <v>-13496.206484575407</v>
      </c>
    </row>
    <row r="366" spans="1:2" x14ac:dyDescent="0.2">
      <c r="A366">
        <v>9706.1882889564149</v>
      </c>
      <c r="B366">
        <v>-13458.450002956844</v>
      </c>
    </row>
    <row r="367" spans="1:2" x14ac:dyDescent="0.2">
      <c r="A367">
        <v>763.57184722746024</v>
      </c>
      <c r="B367">
        <v>-13453.720866127114</v>
      </c>
    </row>
    <row r="368" spans="1:2" x14ac:dyDescent="0.2">
      <c r="A368">
        <v>4900.2438181396574</v>
      </c>
      <c r="B368">
        <v>-13453.544046481402</v>
      </c>
    </row>
    <row r="369" spans="1:2" x14ac:dyDescent="0.2">
      <c r="A369">
        <v>3103.2759230668889</v>
      </c>
      <c r="B369">
        <v>-13443.748774792359</v>
      </c>
    </row>
    <row r="370" spans="1:2" x14ac:dyDescent="0.2">
      <c r="A370">
        <v>5959.8557301750989</v>
      </c>
      <c r="B370">
        <v>-13436.679416671395</v>
      </c>
    </row>
    <row r="371" spans="1:2" x14ac:dyDescent="0.2">
      <c r="A371">
        <v>5891.3457227146719</v>
      </c>
      <c r="B371">
        <v>-13415.132209390984</v>
      </c>
    </row>
    <row r="372" spans="1:2" x14ac:dyDescent="0.2">
      <c r="A372">
        <v>7130.4653624669299</v>
      </c>
      <c r="B372">
        <v>-13405.490158218716</v>
      </c>
    </row>
    <row r="373" spans="1:2" x14ac:dyDescent="0.2">
      <c r="A373">
        <v>10915.279027579149</v>
      </c>
      <c r="B373">
        <v>-13387.300607006997</v>
      </c>
    </row>
    <row r="374" spans="1:2" x14ac:dyDescent="0.2">
      <c r="A374">
        <v>-52.333118279537302</v>
      </c>
      <c r="B374">
        <v>-13356.448001365177</v>
      </c>
    </row>
    <row r="375" spans="1:2" x14ac:dyDescent="0.2">
      <c r="A375">
        <v>3390.2097891323792</v>
      </c>
      <c r="B375">
        <v>-13305.619361293269</v>
      </c>
    </row>
    <row r="376" spans="1:2" x14ac:dyDescent="0.2">
      <c r="A376">
        <v>-6391.1360735793423</v>
      </c>
      <c r="B376">
        <v>-13303.900874707848</v>
      </c>
    </row>
    <row r="377" spans="1:2" x14ac:dyDescent="0.2">
      <c r="A377">
        <v>319.28681061652605</v>
      </c>
      <c r="B377">
        <v>-13303.063293134561</v>
      </c>
    </row>
    <row r="378" spans="1:2" x14ac:dyDescent="0.2">
      <c r="A378">
        <v>10058.806420792389</v>
      </c>
      <c r="B378">
        <v>-13278.338318183145</v>
      </c>
    </row>
    <row r="379" spans="1:2" x14ac:dyDescent="0.2">
      <c r="A379">
        <v>-26704.368683772918</v>
      </c>
      <c r="B379">
        <v>-13250.625663290557</v>
      </c>
    </row>
    <row r="380" spans="1:2" x14ac:dyDescent="0.2">
      <c r="A380">
        <v>363.02081322824233</v>
      </c>
      <c r="B380">
        <v>-13211.237198972027</v>
      </c>
    </row>
    <row r="381" spans="1:2" x14ac:dyDescent="0.2">
      <c r="A381">
        <v>8600.5512739713595</v>
      </c>
      <c r="B381">
        <v>-13196.970419180871</v>
      </c>
    </row>
    <row r="382" spans="1:2" x14ac:dyDescent="0.2">
      <c r="A382">
        <v>13048.161311716423</v>
      </c>
      <c r="B382">
        <v>-13193.534211299877</v>
      </c>
    </row>
    <row r="383" spans="1:2" x14ac:dyDescent="0.2">
      <c r="A383">
        <v>-8723.9908407059847</v>
      </c>
      <c r="B383">
        <v>-13179.345578381035</v>
      </c>
    </row>
    <row r="384" spans="1:2" x14ac:dyDescent="0.2">
      <c r="A384">
        <v>2764.2313598255569</v>
      </c>
      <c r="B384">
        <v>-13174.516097698972</v>
      </c>
    </row>
    <row r="385" spans="1:2" x14ac:dyDescent="0.2">
      <c r="A385">
        <v>7610.9709535826114</v>
      </c>
      <c r="B385">
        <v>-13136.13242602814</v>
      </c>
    </row>
    <row r="386" spans="1:2" x14ac:dyDescent="0.2">
      <c r="A386">
        <v>4840.6007707888202</v>
      </c>
      <c r="B386">
        <v>-13128.74261569904</v>
      </c>
    </row>
    <row r="387" spans="1:2" x14ac:dyDescent="0.2">
      <c r="A387">
        <v>-8971.2787139234715</v>
      </c>
      <c r="B387">
        <v>-13095.936354586214</v>
      </c>
    </row>
    <row r="388" spans="1:2" x14ac:dyDescent="0.2">
      <c r="A388">
        <v>5059.2684717094526</v>
      </c>
      <c r="B388">
        <v>-13085.429849333712</v>
      </c>
    </row>
    <row r="389" spans="1:2" x14ac:dyDescent="0.2">
      <c r="A389">
        <v>5489.0171364896814</v>
      </c>
      <c r="B389">
        <v>-13068.64123784902</v>
      </c>
    </row>
    <row r="390" spans="1:2" x14ac:dyDescent="0.2">
      <c r="A390">
        <v>17336.074545805284</v>
      </c>
      <c r="B390">
        <v>-13007.125016106991</v>
      </c>
    </row>
    <row r="391" spans="1:2" x14ac:dyDescent="0.2">
      <c r="A391">
        <v>-625.35237880621571</v>
      </c>
      <c r="B391">
        <v>-13000.979663148522</v>
      </c>
    </row>
    <row r="392" spans="1:2" x14ac:dyDescent="0.2">
      <c r="A392">
        <v>1317.9410822269856</v>
      </c>
      <c r="B392">
        <v>-12988.780349809502</v>
      </c>
    </row>
    <row r="393" spans="1:2" x14ac:dyDescent="0.2">
      <c r="A393">
        <v>-26560.01600123255</v>
      </c>
      <c r="B393">
        <v>-12966.831717588793</v>
      </c>
    </row>
    <row r="394" spans="1:2" x14ac:dyDescent="0.2">
      <c r="A394">
        <v>-5334.0925865850004</v>
      </c>
      <c r="B394">
        <v>-12961.193044500658</v>
      </c>
    </row>
    <row r="395" spans="1:2" x14ac:dyDescent="0.2">
      <c r="A395">
        <v>5141.4611684385454</v>
      </c>
      <c r="B395">
        <v>-12958.716457625851</v>
      </c>
    </row>
    <row r="396" spans="1:2" x14ac:dyDescent="0.2">
      <c r="A396">
        <v>2429.6947761850606</v>
      </c>
      <c r="B396">
        <v>-12958.064443513984</v>
      </c>
    </row>
    <row r="397" spans="1:2" x14ac:dyDescent="0.2">
      <c r="A397">
        <v>7150.5631341870467</v>
      </c>
      <c r="B397">
        <v>-12934.503885646234</v>
      </c>
    </row>
    <row r="398" spans="1:2" x14ac:dyDescent="0.2">
      <c r="A398">
        <v>-8073.0894236292515</v>
      </c>
      <c r="B398">
        <v>-12919.397408486082</v>
      </c>
    </row>
    <row r="399" spans="1:2" x14ac:dyDescent="0.2">
      <c r="A399">
        <v>-4220.8774251742288</v>
      </c>
      <c r="B399">
        <v>-12910.415976383316</v>
      </c>
    </row>
    <row r="400" spans="1:2" x14ac:dyDescent="0.2">
      <c r="A400">
        <v>15013.579071138927</v>
      </c>
      <c r="B400">
        <v>-12795.552681191824</v>
      </c>
    </row>
    <row r="401" spans="1:2" x14ac:dyDescent="0.2">
      <c r="A401">
        <v>7390.1000242447772</v>
      </c>
      <c r="B401">
        <v>-12792.744654157548</v>
      </c>
    </row>
    <row r="402" spans="1:2" x14ac:dyDescent="0.2">
      <c r="A402">
        <v>1940.3976398596715</v>
      </c>
      <c r="B402">
        <v>-12787.607327503152</v>
      </c>
    </row>
    <row r="403" spans="1:2" x14ac:dyDescent="0.2">
      <c r="A403">
        <v>11615.812098771858</v>
      </c>
      <c r="B403">
        <v>-12778.144714483758</v>
      </c>
    </row>
    <row r="404" spans="1:2" x14ac:dyDescent="0.2">
      <c r="A404">
        <v>1215.2532119458192</v>
      </c>
      <c r="B404">
        <v>-12774.103781409911</v>
      </c>
    </row>
    <row r="405" spans="1:2" x14ac:dyDescent="0.2">
      <c r="A405">
        <v>10992.045296978438</v>
      </c>
      <c r="B405">
        <v>-12768.657703982084</v>
      </c>
    </row>
    <row r="406" spans="1:2" x14ac:dyDescent="0.2">
      <c r="A406">
        <v>10194.011891055212</v>
      </c>
      <c r="B406">
        <v>-12757.112668025686</v>
      </c>
    </row>
    <row r="407" spans="1:2" x14ac:dyDescent="0.2">
      <c r="A407">
        <v>17842.841107989749</v>
      </c>
      <c r="B407">
        <v>-12721.385222788347</v>
      </c>
    </row>
    <row r="408" spans="1:2" x14ac:dyDescent="0.2">
      <c r="A408">
        <v>18325.495811339759</v>
      </c>
      <c r="B408">
        <v>-12687.634093888686</v>
      </c>
    </row>
    <row r="409" spans="1:2" x14ac:dyDescent="0.2">
      <c r="A409">
        <v>-14991.820158930816</v>
      </c>
      <c r="B409">
        <v>-12666.4812701068</v>
      </c>
    </row>
    <row r="410" spans="1:2" x14ac:dyDescent="0.2">
      <c r="A410">
        <v>-10730.120787344349</v>
      </c>
      <c r="B410">
        <v>-12663.658357929264</v>
      </c>
    </row>
    <row r="411" spans="1:2" x14ac:dyDescent="0.2">
      <c r="A411">
        <v>10809.783916492743</v>
      </c>
      <c r="B411">
        <v>-12659.933753751975</v>
      </c>
    </row>
    <row r="412" spans="1:2" x14ac:dyDescent="0.2">
      <c r="A412">
        <v>3458.3172698377166</v>
      </c>
      <c r="B412">
        <v>-12619.414883039193</v>
      </c>
    </row>
    <row r="413" spans="1:2" x14ac:dyDescent="0.2">
      <c r="A413">
        <v>3204.1718067403708</v>
      </c>
      <c r="B413">
        <v>-12619.128514201875</v>
      </c>
    </row>
    <row r="414" spans="1:2" x14ac:dyDescent="0.2">
      <c r="A414">
        <v>14674.378089379126</v>
      </c>
      <c r="B414">
        <v>-12591.317553904722</v>
      </c>
    </row>
    <row r="415" spans="1:2" x14ac:dyDescent="0.2">
      <c r="A415">
        <v>7680.4150490105967</v>
      </c>
      <c r="B415">
        <v>-12543.493893725448</v>
      </c>
    </row>
    <row r="416" spans="1:2" x14ac:dyDescent="0.2">
      <c r="A416">
        <v>-4379.9849298854824</v>
      </c>
      <c r="B416">
        <v>-12536.729522072361</v>
      </c>
    </row>
    <row r="417" spans="1:2" x14ac:dyDescent="0.2">
      <c r="A417">
        <v>9144.8578137072327</v>
      </c>
      <c r="B417">
        <v>-12534.983284197282</v>
      </c>
    </row>
    <row r="418" spans="1:2" x14ac:dyDescent="0.2">
      <c r="A418">
        <v>13436.773760280979</v>
      </c>
      <c r="B418">
        <v>-12512.724216801987</v>
      </c>
    </row>
    <row r="419" spans="1:2" x14ac:dyDescent="0.2">
      <c r="A419">
        <v>2919.5126284331782</v>
      </c>
      <c r="B419">
        <v>-12493.138191648293</v>
      </c>
    </row>
    <row r="420" spans="1:2" x14ac:dyDescent="0.2">
      <c r="A420">
        <v>8205.4278478836059</v>
      </c>
      <c r="B420">
        <v>-12452.911496806133</v>
      </c>
    </row>
    <row r="421" spans="1:2" x14ac:dyDescent="0.2">
      <c r="A421">
        <v>-26.967731689277571</v>
      </c>
      <c r="B421">
        <v>-12446.883658267674</v>
      </c>
    </row>
    <row r="422" spans="1:2" x14ac:dyDescent="0.2">
      <c r="A422">
        <v>9025.1663947679335</v>
      </c>
      <c r="B422">
        <v>-12424.521205247322</v>
      </c>
    </row>
    <row r="423" spans="1:2" x14ac:dyDescent="0.2">
      <c r="A423">
        <v>-3546.8782125799917</v>
      </c>
      <c r="B423">
        <v>-12397.986648691643</v>
      </c>
    </row>
    <row r="424" spans="1:2" x14ac:dyDescent="0.2">
      <c r="A424">
        <v>-18387.236571526329</v>
      </c>
      <c r="B424">
        <v>-12381.340983090282</v>
      </c>
    </row>
    <row r="425" spans="1:2" x14ac:dyDescent="0.2">
      <c r="A425">
        <v>565.76426908839494</v>
      </c>
      <c r="B425">
        <v>-12375.946748257033</v>
      </c>
    </row>
    <row r="426" spans="1:2" x14ac:dyDescent="0.2">
      <c r="A426">
        <v>4824.9104567862814</v>
      </c>
      <c r="B426">
        <v>-12357.230507448839</v>
      </c>
    </row>
    <row r="427" spans="1:2" x14ac:dyDescent="0.2">
      <c r="A427">
        <v>4803.0394014695485</v>
      </c>
      <c r="B427">
        <v>-12351.221725678071</v>
      </c>
    </row>
    <row r="428" spans="1:2" x14ac:dyDescent="0.2">
      <c r="A428">
        <v>-8588.1147871359717</v>
      </c>
      <c r="B428">
        <v>-12350.669450850779</v>
      </c>
    </row>
    <row r="429" spans="1:2" x14ac:dyDescent="0.2">
      <c r="A429">
        <v>4998.6986777608399</v>
      </c>
      <c r="B429">
        <v>-12347.286148172716</v>
      </c>
    </row>
    <row r="430" spans="1:2" x14ac:dyDescent="0.2">
      <c r="A430">
        <v>17476.730369272234</v>
      </c>
      <c r="B430">
        <v>-12318.088937760913</v>
      </c>
    </row>
    <row r="431" spans="1:2" x14ac:dyDescent="0.2">
      <c r="A431">
        <v>5780.1786868428753</v>
      </c>
      <c r="B431">
        <v>-12286.259793519828</v>
      </c>
    </row>
    <row r="432" spans="1:2" x14ac:dyDescent="0.2">
      <c r="A432">
        <v>17917.611804884655</v>
      </c>
      <c r="B432">
        <v>-12274.387399933534</v>
      </c>
    </row>
    <row r="433" spans="1:2" x14ac:dyDescent="0.2">
      <c r="A433">
        <v>-2928.2536039727565</v>
      </c>
      <c r="B433">
        <v>-12271.98169898527</v>
      </c>
    </row>
    <row r="434" spans="1:2" x14ac:dyDescent="0.2">
      <c r="A434">
        <v>-1777.1156533519388</v>
      </c>
      <c r="B434">
        <v>-12256.31195050219</v>
      </c>
    </row>
    <row r="435" spans="1:2" x14ac:dyDescent="0.2">
      <c r="A435">
        <v>-3102.5451187065046</v>
      </c>
      <c r="B435">
        <v>-12224.753211539355</v>
      </c>
    </row>
    <row r="436" spans="1:2" x14ac:dyDescent="0.2">
      <c r="A436">
        <v>-19495.718969857611</v>
      </c>
      <c r="B436">
        <v>-12221.920586083696</v>
      </c>
    </row>
    <row r="437" spans="1:2" x14ac:dyDescent="0.2">
      <c r="A437">
        <v>-23039.930738144321</v>
      </c>
      <c r="B437">
        <v>-12201.911073438969</v>
      </c>
    </row>
    <row r="438" spans="1:2" x14ac:dyDescent="0.2">
      <c r="A438">
        <v>-2341.5703687765345</v>
      </c>
      <c r="B438">
        <v>-12170.241210638487</v>
      </c>
    </row>
    <row r="439" spans="1:2" x14ac:dyDescent="0.2">
      <c r="A439">
        <v>-7108.4801120059274</v>
      </c>
      <c r="B439">
        <v>-12131.414052417444</v>
      </c>
    </row>
    <row r="440" spans="1:2" x14ac:dyDescent="0.2">
      <c r="A440">
        <v>3367.5899908186693</v>
      </c>
      <c r="B440">
        <v>-12128.749034181645</v>
      </c>
    </row>
    <row r="441" spans="1:2" x14ac:dyDescent="0.2">
      <c r="A441">
        <v>8666.3954392477171</v>
      </c>
      <c r="B441">
        <v>-12126.32373326915</v>
      </c>
    </row>
    <row r="442" spans="1:2" x14ac:dyDescent="0.2">
      <c r="A442">
        <v>14011.541008901258</v>
      </c>
      <c r="B442">
        <v>-12113.928017209197</v>
      </c>
    </row>
    <row r="443" spans="1:2" x14ac:dyDescent="0.2">
      <c r="A443">
        <v>5558.9938260579656</v>
      </c>
      <c r="B443">
        <v>-12106.710441447358</v>
      </c>
    </row>
    <row r="444" spans="1:2" x14ac:dyDescent="0.2">
      <c r="A444">
        <v>55.932661591185024</v>
      </c>
      <c r="B444">
        <v>-12068.090065431315</v>
      </c>
    </row>
    <row r="445" spans="1:2" x14ac:dyDescent="0.2">
      <c r="A445">
        <v>15943.365362892451</v>
      </c>
      <c r="B445">
        <v>-12048.915123010345</v>
      </c>
    </row>
    <row r="446" spans="1:2" x14ac:dyDescent="0.2">
      <c r="A446">
        <v>-8920.5460935527808</v>
      </c>
      <c r="B446">
        <v>-12035.618804099096</v>
      </c>
    </row>
    <row r="447" spans="1:2" x14ac:dyDescent="0.2">
      <c r="A447">
        <v>10056.952057818591</v>
      </c>
      <c r="B447">
        <v>-12033.118417789461</v>
      </c>
    </row>
    <row r="448" spans="1:2" x14ac:dyDescent="0.2">
      <c r="A448">
        <v>21507.914291844761</v>
      </c>
      <c r="B448">
        <v>-12021.253982862399</v>
      </c>
    </row>
    <row r="449" spans="1:2" x14ac:dyDescent="0.2">
      <c r="A449">
        <v>9879.5590277364536</v>
      </c>
      <c r="B449">
        <v>-11978.057851775113</v>
      </c>
    </row>
    <row r="450" spans="1:2" x14ac:dyDescent="0.2">
      <c r="A450">
        <v>-1528.8600899522717</v>
      </c>
      <c r="B450">
        <v>-11976.028258485807</v>
      </c>
    </row>
    <row r="451" spans="1:2" x14ac:dyDescent="0.2">
      <c r="A451">
        <v>-13303.063293134561</v>
      </c>
      <c r="B451">
        <v>-11959.792936085549</v>
      </c>
    </row>
    <row r="452" spans="1:2" x14ac:dyDescent="0.2">
      <c r="A452">
        <v>-3072.300790136971</v>
      </c>
      <c r="B452">
        <v>-11932.367676947208</v>
      </c>
    </row>
    <row r="453" spans="1:2" x14ac:dyDescent="0.2">
      <c r="A453">
        <v>-5662.6609087103861</v>
      </c>
      <c r="B453">
        <v>-11922.856729140534</v>
      </c>
    </row>
    <row r="454" spans="1:2" x14ac:dyDescent="0.2">
      <c r="A454">
        <v>11283.568158724636</v>
      </c>
      <c r="B454">
        <v>-11908.47533919313</v>
      </c>
    </row>
    <row r="455" spans="1:2" x14ac:dyDescent="0.2">
      <c r="A455">
        <v>5388.8881576693384</v>
      </c>
      <c r="B455">
        <v>-11893.639198116376</v>
      </c>
    </row>
    <row r="456" spans="1:2" x14ac:dyDescent="0.2">
      <c r="A456">
        <v>8085.2298189903668</v>
      </c>
      <c r="B456">
        <v>-11893.284910503251</v>
      </c>
    </row>
    <row r="457" spans="1:2" x14ac:dyDescent="0.2">
      <c r="A457">
        <v>3464.5932966922992</v>
      </c>
      <c r="B457">
        <v>-11883.335247050592</v>
      </c>
    </row>
    <row r="458" spans="1:2" x14ac:dyDescent="0.2">
      <c r="A458">
        <v>-5688.6730482736602</v>
      </c>
      <c r="B458">
        <v>-11874.237553576473</v>
      </c>
    </row>
    <row r="459" spans="1:2" x14ac:dyDescent="0.2">
      <c r="A459">
        <v>-10551.977278379956</v>
      </c>
      <c r="B459">
        <v>-11866.045984786702</v>
      </c>
    </row>
    <row r="460" spans="1:2" x14ac:dyDescent="0.2">
      <c r="A460">
        <v>7762.2115028726694</v>
      </c>
      <c r="B460">
        <v>-11863.4055980962</v>
      </c>
    </row>
    <row r="461" spans="1:2" x14ac:dyDescent="0.2">
      <c r="A461">
        <v>17441.561389400216</v>
      </c>
      <c r="B461">
        <v>-11841.048401261098</v>
      </c>
    </row>
    <row r="462" spans="1:2" x14ac:dyDescent="0.2">
      <c r="A462">
        <v>426.47474559835973</v>
      </c>
      <c r="B462">
        <v>-11839.380345774116</v>
      </c>
    </row>
    <row r="463" spans="1:2" x14ac:dyDescent="0.2">
      <c r="A463">
        <v>-6214.6196894357563</v>
      </c>
      <c r="B463">
        <v>-11834.25013079698</v>
      </c>
    </row>
    <row r="464" spans="1:2" x14ac:dyDescent="0.2">
      <c r="A464">
        <v>-10051.174761963484</v>
      </c>
      <c r="B464">
        <v>-11833.908115063212</v>
      </c>
    </row>
    <row r="465" spans="1:2" x14ac:dyDescent="0.2">
      <c r="A465">
        <v>8462.0220533135289</v>
      </c>
      <c r="B465">
        <v>-11830.726074457954</v>
      </c>
    </row>
    <row r="466" spans="1:2" x14ac:dyDescent="0.2">
      <c r="A466">
        <v>24005.807704162318</v>
      </c>
      <c r="B466">
        <v>-11812.652948404808</v>
      </c>
    </row>
    <row r="467" spans="1:2" x14ac:dyDescent="0.2">
      <c r="A467">
        <v>15177.467278187076</v>
      </c>
      <c r="B467">
        <v>-11795.429385988915</v>
      </c>
    </row>
    <row r="468" spans="1:2" x14ac:dyDescent="0.2">
      <c r="A468">
        <v>5709.2233395088697</v>
      </c>
      <c r="B468">
        <v>-11789.665630397474</v>
      </c>
    </row>
    <row r="469" spans="1:2" x14ac:dyDescent="0.2">
      <c r="A469">
        <v>-8894.5607048473903</v>
      </c>
      <c r="B469">
        <v>-11775.450854222145</v>
      </c>
    </row>
    <row r="470" spans="1:2" x14ac:dyDescent="0.2">
      <c r="A470">
        <v>13736.625507550139</v>
      </c>
      <c r="B470">
        <v>-11768.758615264087</v>
      </c>
    </row>
    <row r="471" spans="1:2" x14ac:dyDescent="0.2">
      <c r="A471">
        <v>9563.8125066974899</v>
      </c>
      <c r="B471">
        <v>-11768.541587673593</v>
      </c>
    </row>
    <row r="472" spans="1:2" x14ac:dyDescent="0.2">
      <c r="A472">
        <v>-9496.7432561817695</v>
      </c>
      <c r="B472">
        <v>-11763.996211923717</v>
      </c>
    </row>
    <row r="473" spans="1:2" x14ac:dyDescent="0.2">
      <c r="A473">
        <v>-1543.9470665222907</v>
      </c>
      <c r="B473">
        <v>-11731.885813854751</v>
      </c>
    </row>
    <row r="474" spans="1:2" x14ac:dyDescent="0.2">
      <c r="A474">
        <v>5833.2266796496988</v>
      </c>
      <c r="B474">
        <v>-11727.756852954801</v>
      </c>
    </row>
    <row r="475" spans="1:2" x14ac:dyDescent="0.2">
      <c r="A475">
        <v>15514.675920276321</v>
      </c>
      <c r="B475">
        <v>-11692.145712997008</v>
      </c>
    </row>
    <row r="476" spans="1:2" x14ac:dyDescent="0.2">
      <c r="A476">
        <v>-9602.7870603063784</v>
      </c>
      <c r="B476">
        <v>-11655.927031828614</v>
      </c>
    </row>
    <row r="477" spans="1:2" x14ac:dyDescent="0.2">
      <c r="A477">
        <v>17157.585853617609</v>
      </c>
      <c r="B477">
        <v>-11626.370390338183</v>
      </c>
    </row>
    <row r="478" spans="1:2" x14ac:dyDescent="0.2">
      <c r="A478">
        <v>-24665.960522278561</v>
      </c>
      <c r="B478">
        <v>-11615.698144245835</v>
      </c>
    </row>
    <row r="479" spans="1:2" x14ac:dyDescent="0.2">
      <c r="A479">
        <v>15781.550892879895</v>
      </c>
      <c r="B479">
        <v>-11572.852983386867</v>
      </c>
    </row>
    <row r="480" spans="1:2" x14ac:dyDescent="0.2">
      <c r="A480">
        <v>8969.3585776536493</v>
      </c>
      <c r="B480">
        <v>-11537.028339753568</v>
      </c>
    </row>
    <row r="481" spans="1:2" x14ac:dyDescent="0.2">
      <c r="A481">
        <v>5561.2651880250196</v>
      </c>
      <c r="B481">
        <v>-11533.147377385874</v>
      </c>
    </row>
    <row r="482" spans="1:2" x14ac:dyDescent="0.2">
      <c r="A482">
        <v>4879.5789802681538</v>
      </c>
      <c r="B482">
        <v>-11532.204514076759</v>
      </c>
    </row>
    <row r="483" spans="1:2" x14ac:dyDescent="0.2">
      <c r="A483">
        <v>14756.089887124544</v>
      </c>
      <c r="B483">
        <v>-11512.944347061042</v>
      </c>
    </row>
    <row r="484" spans="1:2" x14ac:dyDescent="0.2">
      <c r="A484">
        <v>8450.0932442754565</v>
      </c>
      <c r="B484">
        <v>-11493.522345693724</v>
      </c>
    </row>
    <row r="485" spans="1:2" x14ac:dyDescent="0.2">
      <c r="A485">
        <v>3979.3700057333917</v>
      </c>
      <c r="B485">
        <v>-11486.934575093212</v>
      </c>
    </row>
    <row r="486" spans="1:2" x14ac:dyDescent="0.2">
      <c r="A486">
        <v>11347.461666586227</v>
      </c>
      <c r="B486">
        <v>-11485.43952005764</v>
      </c>
    </row>
    <row r="487" spans="1:2" x14ac:dyDescent="0.2">
      <c r="A487">
        <v>-19901.221630223445</v>
      </c>
      <c r="B487">
        <v>-11483.219017338473</v>
      </c>
    </row>
    <row r="488" spans="1:2" x14ac:dyDescent="0.2">
      <c r="A488">
        <v>-7387.3797933086171</v>
      </c>
      <c r="B488">
        <v>-11467.575987039658</v>
      </c>
    </row>
    <row r="489" spans="1:2" x14ac:dyDescent="0.2">
      <c r="A489">
        <v>22627.36543305614</v>
      </c>
      <c r="B489">
        <v>-11464.585495428182</v>
      </c>
    </row>
    <row r="490" spans="1:2" x14ac:dyDescent="0.2">
      <c r="A490">
        <v>3165.0814531071228</v>
      </c>
      <c r="B490">
        <v>-11457.123156557267</v>
      </c>
    </row>
    <row r="491" spans="1:2" x14ac:dyDescent="0.2">
      <c r="A491">
        <v>1693.813145362772</v>
      </c>
      <c r="B491">
        <v>-11438.934676709934</v>
      </c>
    </row>
    <row r="492" spans="1:2" x14ac:dyDescent="0.2">
      <c r="A492">
        <v>1219.8096204632602</v>
      </c>
      <c r="B492">
        <v>-11425.209614799416</v>
      </c>
    </row>
    <row r="493" spans="1:2" x14ac:dyDescent="0.2">
      <c r="A493">
        <v>-10152.728219758254</v>
      </c>
      <c r="B493">
        <v>-11407.751501315652</v>
      </c>
    </row>
    <row r="494" spans="1:2" x14ac:dyDescent="0.2">
      <c r="A494">
        <v>17897.638927167049</v>
      </c>
      <c r="B494">
        <v>-11376.66179977206</v>
      </c>
    </row>
    <row r="495" spans="1:2" x14ac:dyDescent="0.2">
      <c r="A495">
        <v>-3215.0444480750593</v>
      </c>
      <c r="B495">
        <v>-11376.292123349529</v>
      </c>
    </row>
    <row r="496" spans="1:2" x14ac:dyDescent="0.2">
      <c r="A496">
        <v>15113.82088648458</v>
      </c>
      <c r="B496">
        <v>-11361.061435711395</v>
      </c>
    </row>
    <row r="497" spans="1:2" x14ac:dyDescent="0.2">
      <c r="A497">
        <v>7019.3955978307058</v>
      </c>
      <c r="B497">
        <v>-11350.278185116011</v>
      </c>
    </row>
    <row r="498" spans="1:2" x14ac:dyDescent="0.2">
      <c r="A498">
        <v>-5000.9849133388198</v>
      </c>
      <c r="B498">
        <v>-11336.343688307679</v>
      </c>
    </row>
    <row r="499" spans="1:2" x14ac:dyDescent="0.2">
      <c r="A499">
        <v>4051.6099984085304</v>
      </c>
      <c r="B499">
        <v>-11316.412014168338</v>
      </c>
    </row>
    <row r="500" spans="1:2" x14ac:dyDescent="0.2">
      <c r="A500">
        <v>-33731.893868938845</v>
      </c>
      <c r="B500">
        <v>-11315.469493939192</v>
      </c>
    </row>
    <row r="501" spans="1:2" x14ac:dyDescent="0.2">
      <c r="A501">
        <v>4462.5201186907943</v>
      </c>
      <c r="B501">
        <v>-11311.10039524606</v>
      </c>
    </row>
    <row r="502" spans="1:2" x14ac:dyDescent="0.2">
      <c r="A502">
        <v>10631.533023994183</v>
      </c>
      <c r="B502">
        <v>-11299.484696018189</v>
      </c>
    </row>
    <row r="503" spans="1:2" x14ac:dyDescent="0.2">
      <c r="A503">
        <v>-9887.0867310066242</v>
      </c>
      <c r="B503">
        <v>-11288.734495498356</v>
      </c>
    </row>
    <row r="504" spans="1:2" x14ac:dyDescent="0.2">
      <c r="A504">
        <v>5915.8134718476795</v>
      </c>
      <c r="B504">
        <v>-11274.777220132557</v>
      </c>
    </row>
    <row r="505" spans="1:2" x14ac:dyDescent="0.2">
      <c r="A505">
        <v>10928.801262064197</v>
      </c>
      <c r="B505">
        <v>-11262.627714946459</v>
      </c>
    </row>
    <row r="506" spans="1:2" x14ac:dyDescent="0.2">
      <c r="A506">
        <v>-4785.7226580634015</v>
      </c>
      <c r="B506">
        <v>-11258.786575140432</v>
      </c>
    </row>
    <row r="507" spans="1:2" x14ac:dyDescent="0.2">
      <c r="A507">
        <v>-11231.107087468379</v>
      </c>
      <c r="B507">
        <v>-11257.097894000151</v>
      </c>
    </row>
    <row r="508" spans="1:2" x14ac:dyDescent="0.2">
      <c r="A508">
        <v>8972.6679987812531</v>
      </c>
      <c r="B508">
        <v>-11253.454737496679</v>
      </c>
    </row>
    <row r="509" spans="1:2" x14ac:dyDescent="0.2">
      <c r="A509">
        <v>-247.33464082467253</v>
      </c>
      <c r="B509">
        <v>-11235.990299665311</v>
      </c>
    </row>
    <row r="510" spans="1:2" x14ac:dyDescent="0.2">
      <c r="A510">
        <v>10710.865402262571</v>
      </c>
      <c r="B510">
        <v>-11235.869565086963</v>
      </c>
    </row>
    <row r="511" spans="1:2" x14ac:dyDescent="0.2">
      <c r="A511">
        <v>5260.1828037273663</v>
      </c>
      <c r="B511">
        <v>-11231.107087468379</v>
      </c>
    </row>
    <row r="512" spans="1:2" x14ac:dyDescent="0.2">
      <c r="A512">
        <v>-8605.7855632472201</v>
      </c>
      <c r="B512">
        <v>-11228.164571977803</v>
      </c>
    </row>
    <row r="513" spans="1:2" x14ac:dyDescent="0.2">
      <c r="A513">
        <v>451.49008049783879</v>
      </c>
      <c r="B513">
        <v>-11226.323338283168</v>
      </c>
    </row>
    <row r="514" spans="1:2" x14ac:dyDescent="0.2">
      <c r="A514">
        <v>4577.4733668889385</v>
      </c>
      <c r="B514">
        <v>-11200.797792384168</v>
      </c>
    </row>
    <row r="515" spans="1:2" x14ac:dyDescent="0.2">
      <c r="A515">
        <v>23534.429581944074</v>
      </c>
      <c r="B515">
        <v>-11200.543343759957</v>
      </c>
    </row>
    <row r="516" spans="1:2" x14ac:dyDescent="0.2">
      <c r="A516">
        <v>-18173.011877468263</v>
      </c>
      <c r="B516">
        <v>-11183.296702481341</v>
      </c>
    </row>
    <row r="517" spans="1:2" x14ac:dyDescent="0.2">
      <c r="A517">
        <v>15910.855699618754</v>
      </c>
      <c r="B517">
        <v>-11150.016317092581</v>
      </c>
    </row>
    <row r="518" spans="1:2" x14ac:dyDescent="0.2">
      <c r="A518">
        <v>2719.9824346728565</v>
      </c>
      <c r="B518">
        <v>-11100.800510328932</v>
      </c>
    </row>
    <row r="519" spans="1:2" x14ac:dyDescent="0.2">
      <c r="A519">
        <v>9498.2278006048</v>
      </c>
      <c r="B519">
        <v>-11059.040775937494</v>
      </c>
    </row>
    <row r="520" spans="1:2" x14ac:dyDescent="0.2">
      <c r="A520">
        <v>-3124.1236302164325</v>
      </c>
      <c r="B520">
        <v>-11058.287026784499</v>
      </c>
    </row>
    <row r="521" spans="1:2" x14ac:dyDescent="0.2">
      <c r="A521">
        <v>-3437.4902596409083</v>
      </c>
      <c r="B521">
        <v>-11055.976431626594</v>
      </c>
    </row>
    <row r="522" spans="1:2" x14ac:dyDescent="0.2">
      <c r="A522">
        <v>1547.3758284007199</v>
      </c>
      <c r="B522">
        <v>-11036.717806758359</v>
      </c>
    </row>
    <row r="523" spans="1:2" x14ac:dyDescent="0.2">
      <c r="A523">
        <v>-10398.891414187994</v>
      </c>
      <c r="B523">
        <v>-11009.017590463744</v>
      </c>
    </row>
    <row r="524" spans="1:2" x14ac:dyDescent="0.2">
      <c r="A524">
        <v>-7341.4768855178845</v>
      </c>
      <c r="B524">
        <v>-11007.908075268875</v>
      </c>
    </row>
    <row r="525" spans="1:2" x14ac:dyDescent="0.2">
      <c r="A525">
        <v>-18247.599337733933</v>
      </c>
      <c r="B525">
        <v>-10975.243360779714</v>
      </c>
    </row>
    <row r="526" spans="1:2" x14ac:dyDescent="0.2">
      <c r="A526">
        <v>-5705.3423230233893</v>
      </c>
      <c r="B526">
        <v>-10951.819815899129</v>
      </c>
    </row>
    <row r="527" spans="1:2" x14ac:dyDescent="0.2">
      <c r="A527">
        <v>4505.317594390217</v>
      </c>
      <c r="B527">
        <v>-10951.189461902221</v>
      </c>
    </row>
    <row r="528" spans="1:2" x14ac:dyDescent="0.2">
      <c r="A528">
        <v>-4767.4766785289685</v>
      </c>
      <c r="B528">
        <v>-10947.02509825505</v>
      </c>
    </row>
    <row r="529" spans="1:2" x14ac:dyDescent="0.2">
      <c r="A529">
        <v>-11055.976431626594</v>
      </c>
      <c r="B529">
        <v>-10916.029068794567</v>
      </c>
    </row>
    <row r="530" spans="1:2" x14ac:dyDescent="0.2">
      <c r="A530">
        <v>2174.0978111381992</v>
      </c>
      <c r="B530">
        <v>-10908.91423709935</v>
      </c>
    </row>
    <row r="531" spans="1:2" x14ac:dyDescent="0.2">
      <c r="A531">
        <v>7791.3410773675714</v>
      </c>
      <c r="B531">
        <v>-10904.272409592581</v>
      </c>
    </row>
    <row r="532" spans="1:2" x14ac:dyDescent="0.2">
      <c r="A532">
        <v>-19425.298326977179</v>
      </c>
      <c r="B532">
        <v>-10882.655103984405</v>
      </c>
    </row>
    <row r="533" spans="1:2" x14ac:dyDescent="0.2">
      <c r="A533">
        <v>2609.5296857509529</v>
      </c>
      <c r="B533">
        <v>-10876.921486263978</v>
      </c>
    </row>
    <row r="534" spans="1:2" x14ac:dyDescent="0.2">
      <c r="A534">
        <v>10021.620009273087</v>
      </c>
      <c r="B534">
        <v>-10865.734350972285</v>
      </c>
    </row>
    <row r="535" spans="1:2" x14ac:dyDescent="0.2">
      <c r="A535">
        <v>-1759.5175492924755</v>
      </c>
      <c r="B535">
        <v>-10847.177199406724</v>
      </c>
    </row>
    <row r="536" spans="1:2" x14ac:dyDescent="0.2">
      <c r="A536">
        <v>-1573.0997000141651</v>
      </c>
      <c r="B536">
        <v>-10841.752466660837</v>
      </c>
    </row>
    <row r="537" spans="1:2" x14ac:dyDescent="0.2">
      <c r="A537">
        <v>-2617.5030156670546</v>
      </c>
      <c r="B537">
        <v>-10783.860358912701</v>
      </c>
    </row>
    <row r="538" spans="1:2" x14ac:dyDescent="0.2">
      <c r="A538">
        <v>20756.28597650447</v>
      </c>
      <c r="B538">
        <v>-10731.140601574269</v>
      </c>
    </row>
    <row r="539" spans="1:2" x14ac:dyDescent="0.2">
      <c r="A539">
        <v>-3362.2333804433001</v>
      </c>
      <c r="B539">
        <v>-10730.120787344349</v>
      </c>
    </row>
    <row r="540" spans="1:2" x14ac:dyDescent="0.2">
      <c r="A540">
        <v>-5327.7397247457993</v>
      </c>
      <c r="B540">
        <v>-10729.542752613372</v>
      </c>
    </row>
    <row r="541" spans="1:2" x14ac:dyDescent="0.2">
      <c r="A541">
        <v>-30765.783283281256</v>
      </c>
      <c r="B541">
        <v>-10725.129752336652</v>
      </c>
    </row>
    <row r="542" spans="1:2" x14ac:dyDescent="0.2">
      <c r="A542">
        <v>-1085.1430842249538</v>
      </c>
      <c r="B542">
        <v>-10708.275447445281</v>
      </c>
    </row>
    <row r="543" spans="1:2" x14ac:dyDescent="0.2">
      <c r="A543">
        <v>27493.055867194547</v>
      </c>
      <c r="B543">
        <v>-10698.340424024209</v>
      </c>
    </row>
    <row r="544" spans="1:2" x14ac:dyDescent="0.2">
      <c r="A544">
        <v>3836.8452425532159</v>
      </c>
      <c r="B544">
        <v>-10682.681716280989</v>
      </c>
    </row>
    <row r="545" spans="1:2" x14ac:dyDescent="0.2">
      <c r="A545">
        <v>1653.2539790601295</v>
      </c>
      <c r="B545">
        <v>-10670.89126614132</v>
      </c>
    </row>
    <row r="546" spans="1:2" x14ac:dyDescent="0.2">
      <c r="A546">
        <v>4021.9669523452758</v>
      </c>
      <c r="B546">
        <v>-10668.056214624085</v>
      </c>
    </row>
    <row r="547" spans="1:2" x14ac:dyDescent="0.2">
      <c r="A547">
        <v>132.1349011225102</v>
      </c>
      <c r="B547">
        <v>-10661.862346251786</v>
      </c>
    </row>
    <row r="548" spans="1:2" x14ac:dyDescent="0.2">
      <c r="A548">
        <v>-5652.3569917415734</v>
      </c>
      <c r="B548">
        <v>-10659.234522303101</v>
      </c>
    </row>
    <row r="549" spans="1:2" x14ac:dyDescent="0.2">
      <c r="A549">
        <v>4551.2168684661447</v>
      </c>
      <c r="B549">
        <v>-10643.491207066516</v>
      </c>
    </row>
    <row r="550" spans="1:2" x14ac:dyDescent="0.2">
      <c r="A550">
        <v>-13211.237198972027</v>
      </c>
      <c r="B550">
        <v>-10641.471609956643</v>
      </c>
    </row>
    <row r="551" spans="1:2" x14ac:dyDescent="0.2">
      <c r="A551">
        <v>12673.936199512682</v>
      </c>
      <c r="B551">
        <v>-10633.178069562477</v>
      </c>
    </row>
    <row r="552" spans="1:2" x14ac:dyDescent="0.2">
      <c r="A552">
        <v>1008.5100983271841</v>
      </c>
      <c r="B552">
        <v>-10632.524900977733</v>
      </c>
    </row>
    <row r="553" spans="1:2" x14ac:dyDescent="0.2">
      <c r="A553">
        <v>23083.752836768515</v>
      </c>
      <c r="B553">
        <v>-10625.86282575631</v>
      </c>
    </row>
    <row r="554" spans="1:2" x14ac:dyDescent="0.2">
      <c r="A554">
        <v>-935.61424122893368</v>
      </c>
      <c r="B554">
        <v>-10620.114828021498</v>
      </c>
    </row>
    <row r="555" spans="1:2" x14ac:dyDescent="0.2">
      <c r="A555">
        <v>13591.779655648308</v>
      </c>
      <c r="B555">
        <v>-10614.758750608366</v>
      </c>
    </row>
    <row r="556" spans="1:2" x14ac:dyDescent="0.2">
      <c r="A556">
        <v>-18008.22687683237</v>
      </c>
      <c r="B556">
        <v>-10607.828892457881</v>
      </c>
    </row>
    <row r="557" spans="1:2" x14ac:dyDescent="0.2">
      <c r="A557">
        <v>5057.5196807809116</v>
      </c>
      <c r="B557">
        <v>-10606.181870654749</v>
      </c>
    </row>
    <row r="558" spans="1:2" x14ac:dyDescent="0.2">
      <c r="A558">
        <v>14380.680279712426</v>
      </c>
      <c r="B558">
        <v>-10589.902944483794</v>
      </c>
    </row>
    <row r="559" spans="1:2" x14ac:dyDescent="0.2">
      <c r="A559">
        <v>11538.240264127526</v>
      </c>
      <c r="B559">
        <v>-10570.555786536832</v>
      </c>
    </row>
    <row r="560" spans="1:2" x14ac:dyDescent="0.2">
      <c r="A560">
        <v>1559.2774374731234</v>
      </c>
      <c r="B560">
        <v>-10565.905460931186</v>
      </c>
    </row>
    <row r="561" spans="1:2" x14ac:dyDescent="0.2">
      <c r="A561">
        <v>1803.6560433688865</v>
      </c>
      <c r="B561">
        <v>-10563.729835478356</v>
      </c>
    </row>
    <row r="562" spans="1:2" x14ac:dyDescent="0.2">
      <c r="A562">
        <v>7828.3476051084726</v>
      </c>
      <c r="B562">
        <v>-10551.977278379956</v>
      </c>
    </row>
    <row r="563" spans="1:2" x14ac:dyDescent="0.2">
      <c r="A563">
        <v>1291.2684329987969</v>
      </c>
      <c r="B563">
        <v>-10531.711647628748</v>
      </c>
    </row>
    <row r="564" spans="1:2" x14ac:dyDescent="0.2">
      <c r="A564">
        <v>12372.056979993009</v>
      </c>
      <c r="B564">
        <v>-10466.688496623421</v>
      </c>
    </row>
    <row r="565" spans="1:2" x14ac:dyDescent="0.2">
      <c r="A565">
        <v>5889.9775350188429</v>
      </c>
      <c r="B565">
        <v>-10445.956165002484</v>
      </c>
    </row>
    <row r="566" spans="1:2" x14ac:dyDescent="0.2">
      <c r="A566">
        <v>-2656.7751560958568</v>
      </c>
      <c r="B566">
        <v>-10431.768921024224</v>
      </c>
    </row>
    <row r="567" spans="1:2" x14ac:dyDescent="0.2">
      <c r="A567">
        <v>-12659.933753751975</v>
      </c>
      <c r="B567">
        <v>-10419.176450610277</v>
      </c>
    </row>
    <row r="568" spans="1:2" x14ac:dyDescent="0.2">
      <c r="A568">
        <v>11707.43844285293</v>
      </c>
      <c r="B568">
        <v>-10408.722344756388</v>
      </c>
    </row>
    <row r="569" spans="1:2" x14ac:dyDescent="0.2">
      <c r="A569">
        <v>-5297.9070225192118</v>
      </c>
      <c r="B569">
        <v>-10403.611949353624</v>
      </c>
    </row>
    <row r="570" spans="1:2" x14ac:dyDescent="0.2">
      <c r="A570">
        <v>-32045.632876915042</v>
      </c>
      <c r="B570">
        <v>-10402.830809420673</v>
      </c>
    </row>
    <row r="571" spans="1:2" x14ac:dyDescent="0.2">
      <c r="A571">
        <v>1959.9532931302092</v>
      </c>
      <c r="B571">
        <v>-10399.685621598153</v>
      </c>
    </row>
    <row r="572" spans="1:2" x14ac:dyDescent="0.2">
      <c r="A572">
        <v>8881.2385955704667</v>
      </c>
      <c r="B572">
        <v>-10398.891414187994</v>
      </c>
    </row>
    <row r="573" spans="1:2" x14ac:dyDescent="0.2">
      <c r="A573">
        <v>949.09138250548858</v>
      </c>
      <c r="B573">
        <v>-10374.978378548811</v>
      </c>
    </row>
    <row r="574" spans="1:2" x14ac:dyDescent="0.2">
      <c r="A574">
        <v>-13136.13242602814</v>
      </c>
      <c r="B574">
        <v>-10369.259068222134</v>
      </c>
    </row>
    <row r="575" spans="1:2" x14ac:dyDescent="0.2">
      <c r="A575">
        <v>2088.4596903641068</v>
      </c>
      <c r="B575">
        <v>-10349.592553550698</v>
      </c>
    </row>
    <row r="576" spans="1:2" x14ac:dyDescent="0.2">
      <c r="A576">
        <v>-327.48055246946751</v>
      </c>
      <c r="B576">
        <v>-10338.103019273432</v>
      </c>
    </row>
    <row r="577" spans="1:2" x14ac:dyDescent="0.2">
      <c r="A577">
        <v>-2885.7110952371149</v>
      </c>
      <c r="B577">
        <v>-10329.174610464484</v>
      </c>
    </row>
    <row r="578" spans="1:2" x14ac:dyDescent="0.2">
      <c r="A578">
        <v>681.02852017173427</v>
      </c>
      <c r="B578">
        <v>-10319.568882112682</v>
      </c>
    </row>
    <row r="579" spans="1:2" x14ac:dyDescent="0.2">
      <c r="A579">
        <v>-5147.4089294160949</v>
      </c>
      <c r="B579">
        <v>-10314.57645005401</v>
      </c>
    </row>
    <row r="580" spans="1:2" x14ac:dyDescent="0.2">
      <c r="A580">
        <v>1793.4501971848949</v>
      </c>
      <c r="B580">
        <v>-10313.461331194005</v>
      </c>
    </row>
    <row r="581" spans="1:2" x14ac:dyDescent="0.2">
      <c r="A581">
        <v>9905.7063492679445</v>
      </c>
      <c r="B581">
        <v>-10311.229841873428</v>
      </c>
    </row>
    <row r="582" spans="1:2" x14ac:dyDescent="0.2">
      <c r="A582">
        <v>110.71127384714782</v>
      </c>
      <c r="B582">
        <v>-10308.121978690353</v>
      </c>
    </row>
    <row r="583" spans="1:2" x14ac:dyDescent="0.2">
      <c r="A583">
        <v>13484.769853951002</v>
      </c>
      <c r="B583">
        <v>-10300.832484238432</v>
      </c>
    </row>
    <row r="584" spans="1:2" x14ac:dyDescent="0.2">
      <c r="A584">
        <v>3790.0156342486735</v>
      </c>
      <c r="B584">
        <v>-10300.345300855115</v>
      </c>
    </row>
    <row r="585" spans="1:2" x14ac:dyDescent="0.2">
      <c r="A585">
        <v>10496.899729998491</v>
      </c>
      <c r="B585">
        <v>-10298.064504968934</v>
      </c>
    </row>
    <row r="586" spans="1:2" x14ac:dyDescent="0.2">
      <c r="A586">
        <v>430.1980746081972</v>
      </c>
      <c r="B586">
        <v>-10273.270974619023</v>
      </c>
    </row>
    <row r="587" spans="1:2" x14ac:dyDescent="0.2">
      <c r="A587">
        <v>-15110.577041168115</v>
      </c>
      <c r="B587">
        <v>-10255.420544512861</v>
      </c>
    </row>
    <row r="588" spans="1:2" x14ac:dyDescent="0.2">
      <c r="A588">
        <v>-11731.885813854751</v>
      </c>
      <c r="B588">
        <v>-10250.60984970635</v>
      </c>
    </row>
    <row r="589" spans="1:2" x14ac:dyDescent="0.2">
      <c r="A589">
        <v>-16648.232109089266</v>
      </c>
      <c r="B589">
        <v>-10222.191068455722</v>
      </c>
    </row>
    <row r="590" spans="1:2" x14ac:dyDescent="0.2">
      <c r="A590">
        <v>1859.49501567689</v>
      </c>
      <c r="B590">
        <v>-10214.049148983031</v>
      </c>
    </row>
    <row r="591" spans="1:2" x14ac:dyDescent="0.2">
      <c r="A591">
        <v>3628.3576209091989</v>
      </c>
      <c r="B591">
        <v>-10165.752809419297</v>
      </c>
    </row>
    <row r="592" spans="1:2" x14ac:dyDescent="0.2">
      <c r="A592">
        <v>9159.7066642835271</v>
      </c>
      <c r="B592">
        <v>-10163.837991549983</v>
      </c>
    </row>
    <row r="593" spans="1:2" x14ac:dyDescent="0.2">
      <c r="A593">
        <v>-13706.949780044553</v>
      </c>
      <c r="B593">
        <v>-10156.573919713555</v>
      </c>
    </row>
    <row r="594" spans="1:2" x14ac:dyDescent="0.2">
      <c r="A594">
        <v>3094.2611996290216</v>
      </c>
      <c r="B594">
        <v>-10156.462437023292</v>
      </c>
    </row>
    <row r="595" spans="1:2" x14ac:dyDescent="0.2">
      <c r="A595">
        <v>4738.7293096502253</v>
      </c>
      <c r="B595">
        <v>-10152.728219758254</v>
      </c>
    </row>
    <row r="596" spans="1:2" x14ac:dyDescent="0.2">
      <c r="A596">
        <v>-850.21618565366953</v>
      </c>
      <c r="B596">
        <v>-10143.262099552987</v>
      </c>
    </row>
    <row r="597" spans="1:2" x14ac:dyDescent="0.2">
      <c r="A597">
        <v>14728.556585447193</v>
      </c>
      <c r="B597">
        <v>-10133.737781160336</v>
      </c>
    </row>
    <row r="598" spans="1:2" x14ac:dyDescent="0.2">
      <c r="A598">
        <v>-552.75517726654653</v>
      </c>
      <c r="B598">
        <v>-10098.917917947576</v>
      </c>
    </row>
    <row r="599" spans="1:2" x14ac:dyDescent="0.2">
      <c r="A599">
        <v>10727.638493087667</v>
      </c>
      <c r="B599">
        <v>-10098.911665887514</v>
      </c>
    </row>
    <row r="600" spans="1:2" x14ac:dyDescent="0.2">
      <c r="A600">
        <v>-300.613803587039</v>
      </c>
      <c r="B600">
        <v>-10079.274795665959</v>
      </c>
    </row>
    <row r="601" spans="1:2" x14ac:dyDescent="0.2">
      <c r="A601">
        <v>-3942.1864316184365</v>
      </c>
      <c r="B601">
        <v>-10070.71259634709</v>
      </c>
    </row>
    <row r="602" spans="1:2" x14ac:dyDescent="0.2">
      <c r="A602">
        <v>7963.1091989632987</v>
      </c>
      <c r="B602">
        <v>-10067.9570668409</v>
      </c>
    </row>
    <row r="603" spans="1:2" x14ac:dyDescent="0.2">
      <c r="A603">
        <v>966.60425840056268</v>
      </c>
      <c r="B603">
        <v>-10066.88818987488</v>
      </c>
    </row>
    <row r="604" spans="1:2" x14ac:dyDescent="0.2">
      <c r="A604">
        <v>-23731.753591721295</v>
      </c>
      <c r="B604">
        <v>-10061.611939107417</v>
      </c>
    </row>
    <row r="605" spans="1:2" x14ac:dyDescent="0.2">
      <c r="A605">
        <v>14010.461680904555</v>
      </c>
      <c r="B605">
        <v>-10060.570311480609</v>
      </c>
    </row>
    <row r="606" spans="1:2" x14ac:dyDescent="0.2">
      <c r="A606">
        <v>4290.6537919201073</v>
      </c>
      <c r="B606">
        <v>-10054.203908626892</v>
      </c>
    </row>
    <row r="607" spans="1:2" x14ac:dyDescent="0.2">
      <c r="A607">
        <v>10439.520660254086</v>
      </c>
      <c r="B607">
        <v>-10051.174761963484</v>
      </c>
    </row>
    <row r="608" spans="1:2" x14ac:dyDescent="0.2">
      <c r="A608">
        <v>-557.71529567360994</v>
      </c>
      <c r="B608">
        <v>-10049.630824757915</v>
      </c>
    </row>
    <row r="609" spans="1:2" x14ac:dyDescent="0.2">
      <c r="A609">
        <v>-4396.8128114952269</v>
      </c>
      <c r="B609">
        <v>-10042.41563417716</v>
      </c>
    </row>
    <row r="610" spans="1:2" x14ac:dyDescent="0.2">
      <c r="A610">
        <v>3793.7661425281549</v>
      </c>
      <c r="B610">
        <v>-10025.44233453396</v>
      </c>
    </row>
    <row r="611" spans="1:2" x14ac:dyDescent="0.2">
      <c r="A611">
        <v>-14783.380972491344</v>
      </c>
      <c r="B611">
        <v>-10004.73139351618</v>
      </c>
    </row>
    <row r="612" spans="1:2" x14ac:dyDescent="0.2">
      <c r="A612">
        <v>9212.985462027631</v>
      </c>
      <c r="B612">
        <v>-9974.1292224243516</v>
      </c>
    </row>
    <row r="613" spans="1:2" x14ac:dyDescent="0.2">
      <c r="A613">
        <v>11876.542522532691</v>
      </c>
      <c r="B613">
        <v>-9971.0508745761472</v>
      </c>
    </row>
    <row r="614" spans="1:2" x14ac:dyDescent="0.2">
      <c r="A614">
        <v>-7552.9720634161495</v>
      </c>
      <c r="B614">
        <v>-9962.3927684189402</v>
      </c>
    </row>
    <row r="615" spans="1:2" x14ac:dyDescent="0.2">
      <c r="A615">
        <v>-2598.549470070895</v>
      </c>
      <c r="B615">
        <v>-9960.9137209084001</v>
      </c>
    </row>
    <row r="616" spans="1:2" x14ac:dyDescent="0.2">
      <c r="A616">
        <v>-453.46009711598163</v>
      </c>
      <c r="B616">
        <v>-9950.2054067620775</v>
      </c>
    </row>
    <row r="617" spans="1:2" x14ac:dyDescent="0.2">
      <c r="A617">
        <v>11477.975231146847</v>
      </c>
      <c r="B617">
        <v>-9946.511071383924</v>
      </c>
    </row>
    <row r="618" spans="1:2" x14ac:dyDescent="0.2">
      <c r="A618">
        <v>-3974.8628008440719</v>
      </c>
      <c r="B618">
        <v>-9945.6690966811148</v>
      </c>
    </row>
    <row r="619" spans="1:2" x14ac:dyDescent="0.2">
      <c r="A619">
        <v>562.56775565393036</v>
      </c>
      <c r="B619">
        <v>-9939.5881684265041</v>
      </c>
    </row>
    <row r="620" spans="1:2" x14ac:dyDescent="0.2">
      <c r="A620">
        <v>-6979.411388582841</v>
      </c>
      <c r="B620">
        <v>-9932.1241168697015</v>
      </c>
    </row>
    <row r="621" spans="1:2" x14ac:dyDescent="0.2">
      <c r="A621">
        <v>-12446.883658267674</v>
      </c>
      <c r="B621">
        <v>-9931.7175879277638</v>
      </c>
    </row>
    <row r="622" spans="1:2" x14ac:dyDescent="0.2">
      <c r="A622">
        <v>17532.180318591301</v>
      </c>
      <c r="B622">
        <v>-9905.4071648629324</v>
      </c>
    </row>
    <row r="623" spans="1:2" x14ac:dyDescent="0.2">
      <c r="A623">
        <v>6942.0085175688728</v>
      </c>
      <c r="B623">
        <v>-9893.9981974342081</v>
      </c>
    </row>
    <row r="624" spans="1:2" x14ac:dyDescent="0.2">
      <c r="A624">
        <v>2788.3980016353016</v>
      </c>
      <c r="B624">
        <v>-9890.0452206448826</v>
      </c>
    </row>
    <row r="625" spans="1:2" x14ac:dyDescent="0.2">
      <c r="A625">
        <v>-3085.5186129916692</v>
      </c>
      <c r="B625">
        <v>-9887.0867310066242</v>
      </c>
    </row>
    <row r="626" spans="1:2" x14ac:dyDescent="0.2">
      <c r="A626">
        <v>7884.4302203151165</v>
      </c>
      <c r="B626">
        <v>-9884.7849366440205</v>
      </c>
    </row>
    <row r="627" spans="1:2" x14ac:dyDescent="0.2">
      <c r="A627">
        <v>26947.29174404376</v>
      </c>
      <c r="B627">
        <v>-9881.8467212837422</v>
      </c>
    </row>
    <row r="628" spans="1:2" x14ac:dyDescent="0.2">
      <c r="A628">
        <v>12758.844633282541</v>
      </c>
      <c r="B628">
        <v>-9874.7225073068985</v>
      </c>
    </row>
    <row r="629" spans="1:2" x14ac:dyDescent="0.2">
      <c r="A629">
        <v>-4047.8210474140942</v>
      </c>
      <c r="B629">
        <v>-9864.3672686797217</v>
      </c>
    </row>
    <row r="630" spans="1:2" x14ac:dyDescent="0.2">
      <c r="A630">
        <v>-17598.907766572142</v>
      </c>
      <c r="B630">
        <v>-9825.9593830216909</v>
      </c>
    </row>
    <row r="631" spans="1:2" x14ac:dyDescent="0.2">
      <c r="A631">
        <v>2285.0134086461039</v>
      </c>
      <c r="B631">
        <v>-9779.2747172973468</v>
      </c>
    </row>
    <row r="632" spans="1:2" x14ac:dyDescent="0.2">
      <c r="A632">
        <v>-6715.3115621817997</v>
      </c>
      <c r="B632">
        <v>-9771.1123974585789</v>
      </c>
    </row>
    <row r="633" spans="1:2" x14ac:dyDescent="0.2">
      <c r="A633">
        <v>16643.887192595343</v>
      </c>
      <c r="B633">
        <v>-9726.9592606752121</v>
      </c>
    </row>
    <row r="634" spans="1:2" x14ac:dyDescent="0.2">
      <c r="A634">
        <v>8548.2352819980006</v>
      </c>
      <c r="B634">
        <v>-9718.2025747688604</v>
      </c>
    </row>
    <row r="635" spans="1:2" x14ac:dyDescent="0.2">
      <c r="A635">
        <v>-7440.7820952484908</v>
      </c>
      <c r="B635">
        <v>-9709.4586327034922</v>
      </c>
    </row>
    <row r="636" spans="1:2" x14ac:dyDescent="0.2">
      <c r="A636">
        <v>8569.8761380360811</v>
      </c>
      <c r="B636">
        <v>-9685.3423946615076</v>
      </c>
    </row>
    <row r="637" spans="1:2" x14ac:dyDescent="0.2">
      <c r="A637">
        <v>6018.0327065129532</v>
      </c>
      <c r="B637">
        <v>-9665.8085797878157</v>
      </c>
    </row>
    <row r="638" spans="1:2" x14ac:dyDescent="0.2">
      <c r="A638">
        <v>-5379.2908543602389</v>
      </c>
      <c r="B638">
        <v>-9658.1417118897079</v>
      </c>
    </row>
    <row r="639" spans="1:2" x14ac:dyDescent="0.2">
      <c r="A639">
        <v>10817.060728583601</v>
      </c>
      <c r="B639">
        <v>-9653.0981001570472</v>
      </c>
    </row>
    <row r="640" spans="1:2" x14ac:dyDescent="0.2">
      <c r="A640">
        <v>-2706.0486975530803</v>
      </c>
      <c r="B640">
        <v>-9648.9351458457531</v>
      </c>
    </row>
    <row r="641" spans="1:2" x14ac:dyDescent="0.2">
      <c r="A641">
        <v>-19461.13779876972</v>
      </c>
      <c r="B641">
        <v>-9642.5806901563192</v>
      </c>
    </row>
    <row r="642" spans="1:2" x14ac:dyDescent="0.2">
      <c r="A642">
        <v>10767.403244434448</v>
      </c>
      <c r="B642">
        <v>-9641.1822787271813</v>
      </c>
    </row>
    <row r="643" spans="1:2" x14ac:dyDescent="0.2">
      <c r="A643">
        <v>-7625.3818443965283</v>
      </c>
      <c r="B643">
        <v>-9636.2486662800075</v>
      </c>
    </row>
    <row r="644" spans="1:2" x14ac:dyDescent="0.2">
      <c r="A644">
        <v>-5434.7140022534877</v>
      </c>
      <c r="B644">
        <v>-9633.8073049192317</v>
      </c>
    </row>
    <row r="645" spans="1:2" x14ac:dyDescent="0.2">
      <c r="A645">
        <v>4866.9831970914674</v>
      </c>
      <c r="B645">
        <v>-9631.9944867293234</v>
      </c>
    </row>
    <row r="646" spans="1:2" x14ac:dyDescent="0.2">
      <c r="A646">
        <v>-952.30587838726933</v>
      </c>
      <c r="B646">
        <v>-9623.8097273615422</v>
      </c>
    </row>
    <row r="647" spans="1:2" x14ac:dyDescent="0.2">
      <c r="A647">
        <v>9524.8622465477092</v>
      </c>
      <c r="B647">
        <v>-9622.1025576536776</v>
      </c>
    </row>
    <row r="648" spans="1:2" x14ac:dyDescent="0.2">
      <c r="A648">
        <v>3663.9927918999747</v>
      </c>
      <c r="B648">
        <v>-9613.3162039719755</v>
      </c>
    </row>
    <row r="649" spans="1:2" x14ac:dyDescent="0.2">
      <c r="A649">
        <v>15814.246200698661</v>
      </c>
      <c r="B649">
        <v>-9604.1658633385086</v>
      </c>
    </row>
    <row r="650" spans="1:2" x14ac:dyDescent="0.2">
      <c r="A650">
        <v>6754.694515246083</v>
      </c>
      <c r="B650">
        <v>-9602.7870603063784</v>
      </c>
    </row>
    <row r="651" spans="1:2" x14ac:dyDescent="0.2">
      <c r="A651">
        <v>-1943.2114674644545</v>
      </c>
      <c r="B651">
        <v>-9575.513921391801</v>
      </c>
    </row>
    <row r="652" spans="1:2" x14ac:dyDescent="0.2">
      <c r="A652">
        <v>2536.2110359794169</v>
      </c>
      <c r="B652">
        <v>-9550.8460467570112</v>
      </c>
    </row>
    <row r="653" spans="1:2" x14ac:dyDescent="0.2">
      <c r="A653">
        <v>1000.300525948318</v>
      </c>
      <c r="B653">
        <v>-9548.2262750867812</v>
      </c>
    </row>
    <row r="654" spans="1:2" x14ac:dyDescent="0.2">
      <c r="A654">
        <v>4140.346559453581</v>
      </c>
      <c r="B654">
        <v>-9546.1900755239767</v>
      </c>
    </row>
    <row r="655" spans="1:2" x14ac:dyDescent="0.2">
      <c r="A655">
        <v>-4702.4120703976369</v>
      </c>
      <c r="B655">
        <v>-9543.8740600319579</v>
      </c>
    </row>
    <row r="656" spans="1:2" x14ac:dyDescent="0.2">
      <c r="A656">
        <v>-1101.119046756241</v>
      </c>
      <c r="B656">
        <v>-9534.1512870664592</v>
      </c>
    </row>
    <row r="657" spans="1:2" x14ac:dyDescent="0.2">
      <c r="A657">
        <v>919.08788124978309</v>
      </c>
      <c r="B657">
        <v>-9527.3104323620209</v>
      </c>
    </row>
    <row r="658" spans="1:2" x14ac:dyDescent="0.2">
      <c r="A658">
        <v>2691.9760440041136</v>
      </c>
      <c r="B658">
        <v>-9511.2693804558949</v>
      </c>
    </row>
    <row r="659" spans="1:2" x14ac:dyDescent="0.2">
      <c r="A659">
        <v>7177.4817857249291</v>
      </c>
      <c r="B659">
        <v>-9501.0764718871214</v>
      </c>
    </row>
    <row r="660" spans="1:2" x14ac:dyDescent="0.2">
      <c r="A660">
        <v>-52.068122594733723</v>
      </c>
      <c r="B660">
        <v>-9497.5980326813151</v>
      </c>
    </row>
    <row r="661" spans="1:2" x14ac:dyDescent="0.2">
      <c r="A661">
        <v>8587.0347273028165</v>
      </c>
      <c r="B661">
        <v>-9496.7432561817695</v>
      </c>
    </row>
    <row r="662" spans="1:2" x14ac:dyDescent="0.2">
      <c r="A662">
        <v>-431.08421134797391</v>
      </c>
      <c r="B662">
        <v>-9487.7182552787126</v>
      </c>
    </row>
    <row r="663" spans="1:2" x14ac:dyDescent="0.2">
      <c r="A663">
        <v>-15085.316117079579</v>
      </c>
      <c r="B663">
        <v>-9485.3181648543978</v>
      </c>
    </row>
    <row r="664" spans="1:2" x14ac:dyDescent="0.2">
      <c r="A664">
        <v>2741.5840007363004</v>
      </c>
      <c r="B664">
        <v>-9479.2377865860763</v>
      </c>
    </row>
    <row r="665" spans="1:2" x14ac:dyDescent="0.2">
      <c r="A665">
        <v>-4723.0964701808407</v>
      </c>
      <c r="B665">
        <v>-9471.0359664505231</v>
      </c>
    </row>
    <row r="666" spans="1:2" x14ac:dyDescent="0.2">
      <c r="A666">
        <v>16627.244582226383</v>
      </c>
      <c r="B666">
        <v>-9469.3726733542862</v>
      </c>
    </row>
    <row r="667" spans="1:2" x14ac:dyDescent="0.2">
      <c r="A667">
        <v>3168.6730632794206</v>
      </c>
      <c r="B667">
        <v>-9466.5313776954426</v>
      </c>
    </row>
    <row r="668" spans="1:2" x14ac:dyDescent="0.2">
      <c r="A668">
        <v>-2133.7024839492806</v>
      </c>
      <c r="B668">
        <v>-9459.3987597250089</v>
      </c>
    </row>
    <row r="669" spans="1:2" x14ac:dyDescent="0.2">
      <c r="A669">
        <v>-660.14883495215327</v>
      </c>
      <c r="B669">
        <v>-9457.227719236922</v>
      </c>
    </row>
    <row r="670" spans="1:2" x14ac:dyDescent="0.2">
      <c r="A670">
        <v>13683.178299388528</v>
      </c>
      <c r="B670">
        <v>-9450.0438619440538</v>
      </c>
    </row>
    <row r="671" spans="1:2" x14ac:dyDescent="0.2">
      <c r="A671">
        <v>9941.4381397707912</v>
      </c>
      <c r="B671">
        <v>-9448.0122269961284</v>
      </c>
    </row>
    <row r="672" spans="1:2" x14ac:dyDescent="0.2">
      <c r="A672">
        <v>17111.922872743802</v>
      </c>
      <c r="B672">
        <v>-9438.6196884041419</v>
      </c>
    </row>
    <row r="673" spans="1:2" x14ac:dyDescent="0.2">
      <c r="A673">
        <v>9749.8250200289331</v>
      </c>
      <c r="B673">
        <v>-9415.9274020688026</v>
      </c>
    </row>
    <row r="674" spans="1:2" x14ac:dyDescent="0.2">
      <c r="A674">
        <v>14343.226038839843</v>
      </c>
      <c r="B674">
        <v>-9409.9509081766591</v>
      </c>
    </row>
    <row r="675" spans="1:2" x14ac:dyDescent="0.2">
      <c r="A675">
        <v>12755.824432705936</v>
      </c>
      <c r="B675">
        <v>-9404.1849064208654</v>
      </c>
    </row>
    <row r="676" spans="1:2" x14ac:dyDescent="0.2">
      <c r="A676">
        <v>-1542.3887204302882</v>
      </c>
      <c r="B676">
        <v>-9365.2627443680249</v>
      </c>
    </row>
    <row r="677" spans="1:2" x14ac:dyDescent="0.2">
      <c r="A677">
        <v>3579.5436403887579</v>
      </c>
      <c r="B677">
        <v>-9363.3793698721274</v>
      </c>
    </row>
    <row r="678" spans="1:2" x14ac:dyDescent="0.2">
      <c r="A678">
        <v>7992.0080470882822</v>
      </c>
      <c r="B678">
        <v>-9357.3260586094111</v>
      </c>
    </row>
    <row r="679" spans="1:2" x14ac:dyDescent="0.2">
      <c r="A679">
        <v>3854.9885880177899</v>
      </c>
      <c r="B679">
        <v>-9344.3210776073975</v>
      </c>
    </row>
    <row r="680" spans="1:2" x14ac:dyDescent="0.2">
      <c r="A680">
        <v>-8917.2783867199905</v>
      </c>
      <c r="B680">
        <v>-9342.3852126543061</v>
      </c>
    </row>
    <row r="681" spans="1:2" x14ac:dyDescent="0.2">
      <c r="A681">
        <v>-13007.125016106991</v>
      </c>
      <c r="B681">
        <v>-9331.6952211504686</v>
      </c>
    </row>
    <row r="682" spans="1:2" x14ac:dyDescent="0.2">
      <c r="A682">
        <v>4371.7912337475282</v>
      </c>
      <c r="B682">
        <v>-9320.7513204804854</v>
      </c>
    </row>
    <row r="683" spans="1:2" x14ac:dyDescent="0.2">
      <c r="A683">
        <v>5496.8190142550739</v>
      </c>
      <c r="B683">
        <v>-9288.3333552044351</v>
      </c>
    </row>
    <row r="684" spans="1:2" x14ac:dyDescent="0.2">
      <c r="A684">
        <v>4994.2398445187573</v>
      </c>
      <c r="B684">
        <v>-9275.820581374719</v>
      </c>
    </row>
    <row r="685" spans="1:2" x14ac:dyDescent="0.2">
      <c r="A685">
        <v>14178.681667873811</v>
      </c>
      <c r="B685">
        <v>-9246.9207054435974</v>
      </c>
    </row>
    <row r="686" spans="1:2" x14ac:dyDescent="0.2">
      <c r="A686">
        <v>19419.310175590334</v>
      </c>
      <c r="B686">
        <v>-9226.5749919873197</v>
      </c>
    </row>
    <row r="687" spans="1:2" x14ac:dyDescent="0.2">
      <c r="A687">
        <v>14120.205879275367</v>
      </c>
      <c r="B687">
        <v>-9221.6281384550966</v>
      </c>
    </row>
    <row r="688" spans="1:2" x14ac:dyDescent="0.2">
      <c r="A688">
        <v>4434.6666803317203</v>
      </c>
      <c r="B688">
        <v>-9217.0710655268631</v>
      </c>
    </row>
    <row r="689" spans="1:2" x14ac:dyDescent="0.2">
      <c r="A689">
        <v>10999.222534635832</v>
      </c>
      <c r="B689">
        <v>-9215.6853323592513</v>
      </c>
    </row>
    <row r="690" spans="1:2" x14ac:dyDescent="0.2">
      <c r="A690">
        <v>9553.5530391623615</v>
      </c>
      <c r="B690">
        <v>-9212.8895112927421</v>
      </c>
    </row>
    <row r="691" spans="1:2" x14ac:dyDescent="0.2">
      <c r="A691">
        <v>1560.9742129721562</v>
      </c>
      <c r="B691">
        <v>-9180.9679090761347</v>
      </c>
    </row>
    <row r="692" spans="1:2" x14ac:dyDescent="0.2">
      <c r="A692">
        <v>-768.71852103283163</v>
      </c>
      <c r="B692">
        <v>-9180.6847401924606</v>
      </c>
    </row>
    <row r="693" spans="1:2" x14ac:dyDescent="0.2">
      <c r="A693">
        <v>-4616.8407742765557</v>
      </c>
      <c r="B693">
        <v>-9150.0081325253705</v>
      </c>
    </row>
    <row r="694" spans="1:2" x14ac:dyDescent="0.2">
      <c r="A694">
        <v>-9685.3423946615076</v>
      </c>
      <c r="B694">
        <v>-9140.0228404153604</v>
      </c>
    </row>
    <row r="695" spans="1:2" x14ac:dyDescent="0.2">
      <c r="A695">
        <v>3748.799151476589</v>
      </c>
      <c r="B695">
        <v>-9128.3358874724945</v>
      </c>
    </row>
    <row r="696" spans="1:2" x14ac:dyDescent="0.2">
      <c r="A696">
        <v>2501.4273150712834</v>
      </c>
      <c r="B696">
        <v>-9104.9735033848265</v>
      </c>
    </row>
    <row r="697" spans="1:2" x14ac:dyDescent="0.2">
      <c r="A697">
        <v>19813.502564234659</v>
      </c>
      <c r="B697">
        <v>-9085.427876747679</v>
      </c>
    </row>
    <row r="698" spans="1:2" x14ac:dyDescent="0.2">
      <c r="A698">
        <v>-4286.4127295003855</v>
      </c>
      <c r="B698">
        <v>-9076.297289120499</v>
      </c>
    </row>
    <row r="699" spans="1:2" x14ac:dyDescent="0.2">
      <c r="A699">
        <v>7552.4586814325012</v>
      </c>
      <c r="B699">
        <v>-9053.3794803638593</v>
      </c>
    </row>
    <row r="700" spans="1:2" x14ac:dyDescent="0.2">
      <c r="A700">
        <v>-4630.6028326805099</v>
      </c>
      <c r="B700">
        <v>-9048.8346888120577</v>
      </c>
    </row>
    <row r="701" spans="1:2" x14ac:dyDescent="0.2">
      <c r="A701">
        <v>16995.43354927082</v>
      </c>
      <c r="B701">
        <v>-9039.9076501037634</v>
      </c>
    </row>
    <row r="702" spans="1:2" x14ac:dyDescent="0.2">
      <c r="A702">
        <v>-39107.765983413206</v>
      </c>
      <c r="B702">
        <v>-9037.0610274290957</v>
      </c>
    </row>
    <row r="703" spans="1:2" x14ac:dyDescent="0.2">
      <c r="A703">
        <v>-3090.2850509771379</v>
      </c>
      <c r="B703">
        <v>-9030.1310746019008</v>
      </c>
    </row>
    <row r="704" spans="1:2" x14ac:dyDescent="0.2">
      <c r="A704">
        <v>-2087.1850478026317</v>
      </c>
      <c r="B704">
        <v>-9013.0794452146802</v>
      </c>
    </row>
    <row r="705" spans="1:2" x14ac:dyDescent="0.2">
      <c r="A705">
        <v>-1756.2981789205805</v>
      </c>
      <c r="B705">
        <v>-9011.3920588863839</v>
      </c>
    </row>
    <row r="706" spans="1:2" x14ac:dyDescent="0.2">
      <c r="A706">
        <v>-6923.3023419786477</v>
      </c>
      <c r="B706">
        <v>-9010.1546210733941</v>
      </c>
    </row>
    <row r="707" spans="1:2" x14ac:dyDescent="0.2">
      <c r="A707">
        <v>9995.680166695849</v>
      </c>
      <c r="B707">
        <v>-9001.7537018440198</v>
      </c>
    </row>
    <row r="708" spans="1:2" x14ac:dyDescent="0.2">
      <c r="A708">
        <v>3399.5553167460603</v>
      </c>
      <c r="B708">
        <v>-9001.3407111676934</v>
      </c>
    </row>
    <row r="709" spans="1:2" x14ac:dyDescent="0.2">
      <c r="A709">
        <v>-1198.0439941311779</v>
      </c>
      <c r="B709">
        <v>-8998.7391879092029</v>
      </c>
    </row>
    <row r="710" spans="1:2" x14ac:dyDescent="0.2">
      <c r="A710">
        <v>-44636.218803002848</v>
      </c>
      <c r="B710">
        <v>-8995.378016316914</v>
      </c>
    </row>
    <row r="711" spans="1:2" x14ac:dyDescent="0.2">
      <c r="A711">
        <v>1453.2356699593074</v>
      </c>
      <c r="B711">
        <v>-8992.6551371181558</v>
      </c>
    </row>
    <row r="712" spans="1:2" x14ac:dyDescent="0.2">
      <c r="A712">
        <v>-2587.2378456185979</v>
      </c>
      <c r="B712">
        <v>-8992.3916624724225</v>
      </c>
    </row>
    <row r="713" spans="1:2" x14ac:dyDescent="0.2">
      <c r="A713">
        <v>-2818.1205951177981</v>
      </c>
      <c r="B713">
        <v>-8971.5253500876424</v>
      </c>
    </row>
    <row r="714" spans="1:2" x14ac:dyDescent="0.2">
      <c r="A714">
        <v>19587.420181745183</v>
      </c>
      <c r="B714">
        <v>-8971.2787139234715</v>
      </c>
    </row>
    <row r="715" spans="1:2" x14ac:dyDescent="0.2">
      <c r="A715">
        <v>-9527.3104323620209</v>
      </c>
      <c r="B715">
        <v>-8967.389684588532</v>
      </c>
    </row>
    <row r="716" spans="1:2" x14ac:dyDescent="0.2">
      <c r="A716">
        <v>2935.3267805634532</v>
      </c>
      <c r="B716">
        <v>-8959.5367627526866</v>
      </c>
    </row>
    <row r="717" spans="1:2" x14ac:dyDescent="0.2">
      <c r="A717">
        <v>6679.8063098654384</v>
      </c>
      <c r="B717">
        <v>-8956.0622128850664</v>
      </c>
    </row>
    <row r="718" spans="1:2" x14ac:dyDescent="0.2">
      <c r="A718">
        <v>772.99634696193971</v>
      </c>
      <c r="B718">
        <v>-8944.6225246329268</v>
      </c>
    </row>
    <row r="719" spans="1:2" x14ac:dyDescent="0.2">
      <c r="A719">
        <v>-10042.41563417716</v>
      </c>
      <c r="B719">
        <v>-8943.8480101086607</v>
      </c>
    </row>
    <row r="720" spans="1:2" x14ac:dyDescent="0.2">
      <c r="A720">
        <v>-3154.2456616902491</v>
      </c>
      <c r="B720">
        <v>-8935.4790880854125</v>
      </c>
    </row>
    <row r="721" spans="1:2" x14ac:dyDescent="0.2">
      <c r="A721">
        <v>8869.1855138005049</v>
      </c>
      <c r="B721">
        <v>-8925.8712639217265</v>
      </c>
    </row>
    <row r="722" spans="1:2" x14ac:dyDescent="0.2">
      <c r="A722">
        <v>13891.953939720639</v>
      </c>
      <c r="B722">
        <v>-8920.5460935527808</v>
      </c>
    </row>
    <row r="723" spans="1:2" x14ac:dyDescent="0.2">
      <c r="A723">
        <v>14554.732782525418</v>
      </c>
      <c r="B723">
        <v>-8917.2783867199905</v>
      </c>
    </row>
    <row r="724" spans="1:2" x14ac:dyDescent="0.2">
      <c r="A724">
        <v>-32175.935451445926</v>
      </c>
      <c r="B724">
        <v>-8911.7134339751501</v>
      </c>
    </row>
    <row r="725" spans="1:2" x14ac:dyDescent="0.2">
      <c r="A725">
        <v>6080.4578483117511</v>
      </c>
      <c r="B725">
        <v>-8908.536667979206</v>
      </c>
    </row>
    <row r="726" spans="1:2" x14ac:dyDescent="0.2">
      <c r="A726">
        <v>10289.116938071413</v>
      </c>
      <c r="B726">
        <v>-8908.1597822212498</v>
      </c>
    </row>
    <row r="727" spans="1:2" x14ac:dyDescent="0.2">
      <c r="A727">
        <v>3656.3252829818521</v>
      </c>
      <c r="B727">
        <v>-8903.567954563885</v>
      </c>
    </row>
    <row r="728" spans="1:2" x14ac:dyDescent="0.2">
      <c r="A728">
        <v>-2175.1454740048503</v>
      </c>
      <c r="B728">
        <v>-8902.2552441240987</v>
      </c>
    </row>
    <row r="729" spans="1:2" x14ac:dyDescent="0.2">
      <c r="A729">
        <v>18455.613780599466</v>
      </c>
      <c r="B729">
        <v>-8900.5034246189171</v>
      </c>
    </row>
    <row r="730" spans="1:2" x14ac:dyDescent="0.2">
      <c r="A730">
        <v>1025.3247506704065</v>
      </c>
      <c r="B730">
        <v>-8894.5607048473903</v>
      </c>
    </row>
    <row r="731" spans="1:2" x14ac:dyDescent="0.2">
      <c r="A731">
        <v>-14096.589338061487</v>
      </c>
      <c r="B731">
        <v>-8888.5909904693253</v>
      </c>
    </row>
    <row r="732" spans="1:2" x14ac:dyDescent="0.2">
      <c r="A732">
        <v>-18784.020844155923</v>
      </c>
      <c r="B732">
        <v>-8831.6761302349623</v>
      </c>
    </row>
    <row r="733" spans="1:2" x14ac:dyDescent="0.2">
      <c r="A733">
        <v>6266.9993867815938</v>
      </c>
      <c r="B733">
        <v>-8827.7431534798234</v>
      </c>
    </row>
    <row r="734" spans="1:2" x14ac:dyDescent="0.2">
      <c r="A734">
        <v>2436.4591881153756</v>
      </c>
      <c r="B734">
        <v>-8813.9672879368882</v>
      </c>
    </row>
    <row r="735" spans="1:2" x14ac:dyDescent="0.2">
      <c r="A735">
        <v>8894.5068329963251</v>
      </c>
      <c r="B735">
        <v>-8786.7756209914805</v>
      </c>
    </row>
    <row r="736" spans="1:2" x14ac:dyDescent="0.2">
      <c r="A736">
        <v>2540.6878711381578</v>
      </c>
      <c r="B736">
        <v>-8779.5378739294829</v>
      </c>
    </row>
    <row r="737" spans="1:2" x14ac:dyDescent="0.2">
      <c r="A737">
        <v>-6407.4065671694116</v>
      </c>
      <c r="B737">
        <v>-8777.5841679214791</v>
      </c>
    </row>
    <row r="738" spans="1:2" x14ac:dyDescent="0.2">
      <c r="A738">
        <v>11537.701185673825</v>
      </c>
      <c r="B738">
        <v>-8751.0108966500848</v>
      </c>
    </row>
    <row r="739" spans="1:2" x14ac:dyDescent="0.2">
      <c r="A739">
        <v>-3753.9657056463766</v>
      </c>
      <c r="B739">
        <v>-8750.4511344534985</v>
      </c>
    </row>
    <row r="740" spans="1:2" x14ac:dyDescent="0.2">
      <c r="A740">
        <v>-10882.655103984405</v>
      </c>
      <c r="B740">
        <v>-8740.1638760197093</v>
      </c>
    </row>
    <row r="741" spans="1:2" x14ac:dyDescent="0.2">
      <c r="A741">
        <v>9166.8025091377785</v>
      </c>
      <c r="B741">
        <v>-8739.6141500656377</v>
      </c>
    </row>
    <row r="742" spans="1:2" x14ac:dyDescent="0.2">
      <c r="A742">
        <v>25159.29853209405</v>
      </c>
      <c r="B742">
        <v>-8735.6128296278184</v>
      </c>
    </row>
    <row r="743" spans="1:2" x14ac:dyDescent="0.2">
      <c r="A743">
        <v>-6844.9594347873644</v>
      </c>
      <c r="B743">
        <v>-8723.9908407059847</v>
      </c>
    </row>
    <row r="744" spans="1:2" x14ac:dyDescent="0.2">
      <c r="A744">
        <v>-3461.1253849866916</v>
      </c>
      <c r="B744">
        <v>-8679.2373649987858</v>
      </c>
    </row>
    <row r="745" spans="1:2" x14ac:dyDescent="0.2">
      <c r="A745">
        <v>-16184.141251170484</v>
      </c>
      <c r="B745">
        <v>-8678.6425471722323</v>
      </c>
    </row>
    <row r="746" spans="1:2" x14ac:dyDescent="0.2">
      <c r="A746">
        <v>-27703.497747854097</v>
      </c>
      <c r="B746">
        <v>-8674.3008102863096</v>
      </c>
    </row>
    <row r="747" spans="1:2" x14ac:dyDescent="0.2">
      <c r="A747">
        <v>5209.6653465913842</v>
      </c>
      <c r="B747">
        <v>-8673.9125584517606</v>
      </c>
    </row>
    <row r="748" spans="1:2" x14ac:dyDescent="0.2">
      <c r="A748">
        <v>11532.848454838677</v>
      </c>
      <c r="B748">
        <v>-8649.9046994506498</v>
      </c>
    </row>
    <row r="749" spans="1:2" x14ac:dyDescent="0.2">
      <c r="A749">
        <v>-10319.568882112682</v>
      </c>
      <c r="B749">
        <v>-8646.2938732558978</v>
      </c>
    </row>
    <row r="750" spans="1:2" x14ac:dyDescent="0.2">
      <c r="A750">
        <v>-25686.631801727402</v>
      </c>
      <c r="B750">
        <v>-8640.6884467355558</v>
      </c>
    </row>
    <row r="751" spans="1:2" x14ac:dyDescent="0.2">
      <c r="A751">
        <v>-2495.5922177913599</v>
      </c>
      <c r="B751">
        <v>-8635.0125458714319</v>
      </c>
    </row>
    <row r="752" spans="1:2" x14ac:dyDescent="0.2">
      <c r="A752">
        <v>-2832.2453870895552</v>
      </c>
      <c r="B752">
        <v>-8617.7675433073891</v>
      </c>
    </row>
    <row r="753" spans="1:2" x14ac:dyDescent="0.2">
      <c r="A753">
        <v>-6766.6076264475414</v>
      </c>
      <c r="B753">
        <v>-8616.5455344507936</v>
      </c>
    </row>
    <row r="754" spans="1:2" x14ac:dyDescent="0.2">
      <c r="A754">
        <v>15997.949392992421</v>
      </c>
      <c r="B754">
        <v>-8616.3643117554602</v>
      </c>
    </row>
    <row r="755" spans="1:2" x14ac:dyDescent="0.2">
      <c r="A755">
        <v>-4230.8641177353857</v>
      </c>
      <c r="B755">
        <v>-8605.7855632472201</v>
      </c>
    </row>
    <row r="756" spans="1:2" x14ac:dyDescent="0.2">
      <c r="A756">
        <v>251.09683375695022</v>
      </c>
      <c r="B756">
        <v>-8601.1097172359587</v>
      </c>
    </row>
    <row r="757" spans="1:2" x14ac:dyDescent="0.2">
      <c r="A757">
        <v>-287.8959437822341</v>
      </c>
      <c r="B757">
        <v>-8600.7076293716091</v>
      </c>
    </row>
    <row r="758" spans="1:2" x14ac:dyDescent="0.2">
      <c r="A758">
        <v>-12256.31195050219</v>
      </c>
      <c r="B758">
        <v>-8593.2537700576067</v>
      </c>
    </row>
    <row r="759" spans="1:2" x14ac:dyDescent="0.2">
      <c r="A759">
        <v>8595.4486052216671</v>
      </c>
      <c r="B759">
        <v>-8588.1147871359717</v>
      </c>
    </row>
    <row r="760" spans="1:2" x14ac:dyDescent="0.2">
      <c r="A760">
        <v>-2330.283269856649</v>
      </c>
      <c r="B760">
        <v>-8587.093652762298</v>
      </c>
    </row>
    <row r="761" spans="1:2" x14ac:dyDescent="0.2">
      <c r="A761">
        <v>-14105.124574736634</v>
      </c>
      <c r="B761">
        <v>-8581.7165434996714</v>
      </c>
    </row>
    <row r="762" spans="1:2" x14ac:dyDescent="0.2">
      <c r="A762">
        <v>-16046.678748784907</v>
      </c>
      <c r="B762">
        <v>-8578.8371128225117</v>
      </c>
    </row>
    <row r="763" spans="1:2" x14ac:dyDescent="0.2">
      <c r="A763">
        <v>3592.1517248223245</v>
      </c>
      <c r="B763">
        <v>-8571.01183910697</v>
      </c>
    </row>
    <row r="764" spans="1:2" x14ac:dyDescent="0.2">
      <c r="A764">
        <v>-7425.3219875996292</v>
      </c>
      <c r="B764">
        <v>-8569.3507334443566</v>
      </c>
    </row>
    <row r="765" spans="1:2" x14ac:dyDescent="0.2">
      <c r="A765">
        <v>12122.948821242753</v>
      </c>
      <c r="B765">
        <v>-8540.971269469359</v>
      </c>
    </row>
    <row r="766" spans="1:2" x14ac:dyDescent="0.2">
      <c r="A766">
        <v>-6205.6166428931756</v>
      </c>
      <c r="B766">
        <v>-8527.3923102541012</v>
      </c>
    </row>
    <row r="767" spans="1:2" x14ac:dyDescent="0.2">
      <c r="A767">
        <v>4881.3852275811078</v>
      </c>
      <c r="B767">
        <v>-8527.0168198063911</v>
      </c>
    </row>
    <row r="768" spans="1:2" x14ac:dyDescent="0.2">
      <c r="A768">
        <v>7607.0012345961295</v>
      </c>
      <c r="B768">
        <v>-8524.7135820416734</v>
      </c>
    </row>
    <row r="769" spans="1:2" x14ac:dyDescent="0.2">
      <c r="A769">
        <v>7004.9806896632072</v>
      </c>
      <c r="B769">
        <v>-8475.0691636301344</v>
      </c>
    </row>
    <row r="770" spans="1:2" x14ac:dyDescent="0.2">
      <c r="A770">
        <v>4696.8647157584783</v>
      </c>
      <c r="B770">
        <v>-8473.701565344003</v>
      </c>
    </row>
    <row r="771" spans="1:2" x14ac:dyDescent="0.2">
      <c r="A771">
        <v>-28826.724972164317</v>
      </c>
      <c r="B771">
        <v>-8466.9964677676326</v>
      </c>
    </row>
    <row r="772" spans="1:2" x14ac:dyDescent="0.2">
      <c r="A772">
        <v>-17527.746991449094</v>
      </c>
      <c r="B772">
        <v>-8461.1852627957123</v>
      </c>
    </row>
    <row r="773" spans="1:2" x14ac:dyDescent="0.2">
      <c r="A773">
        <v>5357.2464655902877</v>
      </c>
      <c r="B773">
        <v>-8452.774266014836</v>
      </c>
    </row>
    <row r="774" spans="1:2" x14ac:dyDescent="0.2">
      <c r="A774">
        <v>4389.1844524678309</v>
      </c>
      <c r="B774">
        <v>-8440.621296274825</v>
      </c>
    </row>
    <row r="775" spans="1:2" x14ac:dyDescent="0.2">
      <c r="A775">
        <v>-1121.0528600671096</v>
      </c>
      <c r="B775">
        <v>-8439.6078300322406</v>
      </c>
    </row>
    <row r="776" spans="1:2" x14ac:dyDescent="0.2">
      <c r="A776">
        <v>13059.590421475907</v>
      </c>
      <c r="B776">
        <v>-8438.5763006026973</v>
      </c>
    </row>
    <row r="777" spans="1:2" x14ac:dyDescent="0.2">
      <c r="A777">
        <v>-14278.956654531125</v>
      </c>
      <c r="B777">
        <v>-8432.6356854379992</v>
      </c>
    </row>
    <row r="778" spans="1:2" x14ac:dyDescent="0.2">
      <c r="A778">
        <v>-8238.6190705506015</v>
      </c>
      <c r="B778">
        <v>-8405.0110241275688</v>
      </c>
    </row>
    <row r="779" spans="1:2" x14ac:dyDescent="0.2">
      <c r="A779">
        <v>3923.0677092285478</v>
      </c>
      <c r="B779">
        <v>-8399.6395609641622</v>
      </c>
    </row>
    <row r="780" spans="1:2" x14ac:dyDescent="0.2">
      <c r="A780">
        <v>-708.98388804949354</v>
      </c>
      <c r="B780">
        <v>-8386.1443350092741</v>
      </c>
    </row>
    <row r="781" spans="1:2" x14ac:dyDescent="0.2">
      <c r="A781">
        <v>6118.6392888200935</v>
      </c>
      <c r="B781">
        <v>-8383.5215466567024</v>
      </c>
    </row>
    <row r="782" spans="1:2" x14ac:dyDescent="0.2">
      <c r="A782">
        <v>6992.6033035397995</v>
      </c>
      <c r="B782">
        <v>-8350.5221028874512</v>
      </c>
    </row>
    <row r="783" spans="1:2" x14ac:dyDescent="0.2">
      <c r="A783">
        <v>2124.4827004416729</v>
      </c>
      <c r="B783">
        <v>-8349.1706008214387</v>
      </c>
    </row>
    <row r="784" spans="1:2" x14ac:dyDescent="0.2">
      <c r="A784">
        <v>3085.7932606079266</v>
      </c>
      <c r="B784">
        <v>-8344.5983209526166</v>
      </c>
    </row>
    <row r="785" spans="1:2" x14ac:dyDescent="0.2">
      <c r="A785">
        <v>3618.5873772056657</v>
      </c>
      <c r="B785">
        <v>-8341.5733541008667</v>
      </c>
    </row>
    <row r="786" spans="1:2" x14ac:dyDescent="0.2">
      <c r="A786">
        <v>6308.4093491932144</v>
      </c>
      <c r="B786">
        <v>-8339.7063167002634</v>
      </c>
    </row>
    <row r="787" spans="1:2" x14ac:dyDescent="0.2">
      <c r="A787">
        <v>4064.6562343487749</v>
      </c>
      <c r="B787">
        <v>-8337.3026715998712</v>
      </c>
    </row>
    <row r="788" spans="1:2" x14ac:dyDescent="0.2">
      <c r="A788">
        <v>7005.0528859879705</v>
      </c>
      <c r="B788">
        <v>-8303.9760864253622</v>
      </c>
    </row>
    <row r="789" spans="1:2" x14ac:dyDescent="0.2">
      <c r="A789">
        <v>-19310.849610910693</v>
      </c>
      <c r="B789">
        <v>-8296.4558346007834</v>
      </c>
    </row>
    <row r="790" spans="1:2" x14ac:dyDescent="0.2">
      <c r="A790">
        <v>955.48017723261728</v>
      </c>
      <c r="B790">
        <v>-8287.3813779060729</v>
      </c>
    </row>
    <row r="791" spans="1:2" x14ac:dyDescent="0.2">
      <c r="A791">
        <v>-1159.870587020414</v>
      </c>
      <c r="B791">
        <v>-8281.4642155278125</v>
      </c>
    </row>
    <row r="792" spans="1:2" x14ac:dyDescent="0.2">
      <c r="A792">
        <v>-1019.9111092165404</v>
      </c>
      <c r="B792">
        <v>-8253.8608964262239</v>
      </c>
    </row>
    <row r="793" spans="1:2" x14ac:dyDescent="0.2">
      <c r="A793">
        <v>3968.9111743020185</v>
      </c>
      <c r="B793">
        <v>-8248.0746698913281</v>
      </c>
    </row>
    <row r="794" spans="1:2" x14ac:dyDescent="0.2">
      <c r="A794">
        <v>-4342.0058994488791</v>
      </c>
      <c r="B794">
        <v>-8239.2659586533264</v>
      </c>
    </row>
    <row r="795" spans="1:2" x14ac:dyDescent="0.2">
      <c r="A795">
        <v>-8600.7076293716091</v>
      </c>
      <c r="B795">
        <v>-8238.6190705506015</v>
      </c>
    </row>
    <row r="796" spans="1:2" x14ac:dyDescent="0.2">
      <c r="A796">
        <v>-25448.575255936128</v>
      </c>
      <c r="B796">
        <v>-8236.1636544461653</v>
      </c>
    </row>
    <row r="797" spans="1:2" x14ac:dyDescent="0.2">
      <c r="A797">
        <v>-9893.9981974342081</v>
      </c>
      <c r="B797">
        <v>-8219.9331295939628</v>
      </c>
    </row>
    <row r="798" spans="1:2" x14ac:dyDescent="0.2">
      <c r="A798">
        <v>-13988.554851925117</v>
      </c>
      <c r="B798">
        <v>-8211.905997463211</v>
      </c>
    </row>
    <row r="799" spans="1:2" x14ac:dyDescent="0.2">
      <c r="A799">
        <v>-1847.7712983216043</v>
      </c>
      <c r="B799">
        <v>-8211.5751004918711</v>
      </c>
    </row>
    <row r="800" spans="1:2" x14ac:dyDescent="0.2">
      <c r="A800">
        <v>9467.2132744382252</v>
      </c>
      <c r="B800">
        <v>-8207.6388999120099</v>
      </c>
    </row>
    <row r="801" spans="1:2" x14ac:dyDescent="0.2">
      <c r="A801">
        <v>91.915428350795992</v>
      </c>
      <c r="B801">
        <v>-8206.3377747513005</v>
      </c>
    </row>
    <row r="802" spans="1:2" x14ac:dyDescent="0.2">
      <c r="A802">
        <v>-9215.6853323592513</v>
      </c>
      <c r="B802">
        <v>-8200.0852496523876</v>
      </c>
    </row>
    <row r="803" spans="1:2" x14ac:dyDescent="0.2">
      <c r="A803">
        <v>5664.1079919962503</v>
      </c>
      <c r="B803">
        <v>-8179.935097359994</v>
      </c>
    </row>
    <row r="804" spans="1:2" x14ac:dyDescent="0.2">
      <c r="A804">
        <v>9107.420436395827</v>
      </c>
      <c r="B804">
        <v>-8160.5256695395219</v>
      </c>
    </row>
    <row r="805" spans="1:2" x14ac:dyDescent="0.2">
      <c r="A805">
        <v>13661.005738630221</v>
      </c>
      <c r="B805">
        <v>-8158.1653795974562</v>
      </c>
    </row>
    <row r="806" spans="1:2" x14ac:dyDescent="0.2">
      <c r="A806">
        <v>5559.1371544868744</v>
      </c>
      <c r="B806">
        <v>-8151.9203785334248</v>
      </c>
    </row>
    <row r="807" spans="1:2" x14ac:dyDescent="0.2">
      <c r="A807">
        <v>-11407.751501315652</v>
      </c>
      <c r="B807">
        <v>-8142.4587592783209</v>
      </c>
    </row>
    <row r="808" spans="1:2" x14ac:dyDescent="0.2">
      <c r="A808">
        <v>3432.0773091012961</v>
      </c>
      <c r="B808">
        <v>-8138.3499417821295</v>
      </c>
    </row>
    <row r="809" spans="1:2" x14ac:dyDescent="0.2">
      <c r="A809">
        <v>14384.88436206273</v>
      </c>
      <c r="B809">
        <v>-8133.958249567193</v>
      </c>
    </row>
    <row r="810" spans="1:2" x14ac:dyDescent="0.2">
      <c r="A810">
        <v>20240.329853935225</v>
      </c>
      <c r="B810">
        <v>-8129.7351597386878</v>
      </c>
    </row>
    <row r="811" spans="1:2" x14ac:dyDescent="0.2">
      <c r="A811">
        <v>-423.51842323693563</v>
      </c>
      <c r="B811">
        <v>-8123.5412833643495</v>
      </c>
    </row>
    <row r="812" spans="1:2" x14ac:dyDescent="0.2">
      <c r="A812">
        <v>-5757.9282958235999</v>
      </c>
      <c r="B812">
        <v>-8115.3827779437706</v>
      </c>
    </row>
    <row r="813" spans="1:2" x14ac:dyDescent="0.2">
      <c r="A813">
        <v>-17315.15828196553</v>
      </c>
      <c r="B813">
        <v>-8111.3232069511141</v>
      </c>
    </row>
    <row r="814" spans="1:2" x14ac:dyDescent="0.2">
      <c r="A814">
        <v>-7479.733515867294</v>
      </c>
      <c r="B814">
        <v>-8108.2346060214331</v>
      </c>
    </row>
    <row r="815" spans="1:2" x14ac:dyDescent="0.2">
      <c r="A815">
        <v>15796.917313540733</v>
      </c>
      <c r="B815">
        <v>-8093.6036906891386</v>
      </c>
    </row>
    <row r="816" spans="1:2" x14ac:dyDescent="0.2">
      <c r="A816">
        <v>-18771.270425641502</v>
      </c>
      <c r="B816">
        <v>-8079.8398712915368</v>
      </c>
    </row>
    <row r="817" spans="1:2" x14ac:dyDescent="0.2">
      <c r="A817">
        <v>-5612.3786166138016</v>
      </c>
      <c r="B817">
        <v>-8073.0894236292515</v>
      </c>
    </row>
    <row r="818" spans="1:2" x14ac:dyDescent="0.2">
      <c r="A818">
        <v>6584.5902456520707</v>
      </c>
      <c r="B818">
        <v>-8066.330551614461</v>
      </c>
    </row>
    <row r="819" spans="1:2" x14ac:dyDescent="0.2">
      <c r="A819">
        <v>-12988.780349809502</v>
      </c>
      <c r="B819">
        <v>-8059.6619371317502</v>
      </c>
    </row>
    <row r="820" spans="1:2" x14ac:dyDescent="0.2">
      <c r="A820">
        <v>16541.236818998819</v>
      </c>
      <c r="B820">
        <v>-8056.2753782360523</v>
      </c>
    </row>
    <row r="821" spans="1:2" x14ac:dyDescent="0.2">
      <c r="A821">
        <v>-3894.7430242608825</v>
      </c>
      <c r="B821">
        <v>-8048.887593081512</v>
      </c>
    </row>
    <row r="822" spans="1:2" x14ac:dyDescent="0.2">
      <c r="A822">
        <v>8202.6218711847323</v>
      </c>
      <c r="B822">
        <v>-8043.3726235425565</v>
      </c>
    </row>
    <row r="823" spans="1:2" x14ac:dyDescent="0.2">
      <c r="A823">
        <v>15720.266668330703</v>
      </c>
      <c r="B823">
        <v>-8031.3195953354589</v>
      </c>
    </row>
    <row r="824" spans="1:2" x14ac:dyDescent="0.2">
      <c r="A824">
        <v>-2048.0471458081738</v>
      </c>
      <c r="B824">
        <v>-8019.1443278317456</v>
      </c>
    </row>
    <row r="825" spans="1:2" x14ac:dyDescent="0.2">
      <c r="A825">
        <v>7507.982545441715</v>
      </c>
      <c r="B825">
        <v>-8007.7353758902464</v>
      </c>
    </row>
    <row r="826" spans="1:2" x14ac:dyDescent="0.2">
      <c r="A826">
        <v>-6107.2921430283168</v>
      </c>
      <c r="B826">
        <v>-8007.4825801253901</v>
      </c>
    </row>
    <row r="827" spans="1:2" x14ac:dyDescent="0.2">
      <c r="A827">
        <v>-10054.203908626892</v>
      </c>
      <c r="B827">
        <v>-8001.6093696735334</v>
      </c>
    </row>
    <row r="828" spans="1:2" x14ac:dyDescent="0.2">
      <c r="A828">
        <v>7546.8198972662212</v>
      </c>
      <c r="B828">
        <v>-7987.0692514755065</v>
      </c>
    </row>
    <row r="829" spans="1:2" x14ac:dyDescent="0.2">
      <c r="A829">
        <v>7532.8262105270405</v>
      </c>
      <c r="B829">
        <v>-7971.9993548706407</v>
      </c>
    </row>
    <row r="830" spans="1:2" x14ac:dyDescent="0.2">
      <c r="A830">
        <v>1107.2847756754491</v>
      </c>
      <c r="B830">
        <v>-7968.8230763878091</v>
      </c>
    </row>
    <row r="831" spans="1:2" x14ac:dyDescent="0.2">
      <c r="A831">
        <v>3176.5115302864579</v>
      </c>
      <c r="B831">
        <v>-7959.9315604157018</v>
      </c>
    </row>
    <row r="832" spans="1:2" x14ac:dyDescent="0.2">
      <c r="A832">
        <v>4929.5923614138737</v>
      </c>
      <c r="B832">
        <v>-7939.4881157886703</v>
      </c>
    </row>
    <row r="833" spans="1:2" x14ac:dyDescent="0.2">
      <c r="A833">
        <v>-12774.103781409911</v>
      </c>
      <c r="B833">
        <v>-7937.6435887480038</v>
      </c>
    </row>
    <row r="834" spans="1:2" x14ac:dyDescent="0.2">
      <c r="A834">
        <v>9709.5953002446331</v>
      </c>
      <c r="B834">
        <v>-7934.4453141497215</v>
      </c>
    </row>
    <row r="835" spans="1:2" x14ac:dyDescent="0.2">
      <c r="A835">
        <v>249.41988460021093</v>
      </c>
      <c r="B835">
        <v>-7928.795840564766</v>
      </c>
    </row>
    <row r="836" spans="1:2" x14ac:dyDescent="0.2">
      <c r="A836">
        <v>-10419.176450610277</v>
      </c>
      <c r="B836">
        <v>-7927.6155195079336</v>
      </c>
    </row>
    <row r="837" spans="1:2" x14ac:dyDescent="0.2">
      <c r="A837">
        <v>-12357.230507448839</v>
      </c>
      <c r="B837">
        <v>-7898.1058791429969</v>
      </c>
    </row>
    <row r="838" spans="1:2" x14ac:dyDescent="0.2">
      <c r="A838">
        <v>-15714.896580436558</v>
      </c>
      <c r="B838">
        <v>-7894.081446603348</v>
      </c>
    </row>
    <row r="839" spans="1:2" x14ac:dyDescent="0.2">
      <c r="A839">
        <v>1658.4300302830525</v>
      </c>
      <c r="B839">
        <v>-7856.4664413092105</v>
      </c>
    </row>
    <row r="840" spans="1:2" x14ac:dyDescent="0.2">
      <c r="A840">
        <v>12880.221091178013</v>
      </c>
      <c r="B840">
        <v>-7834.0158840248478</v>
      </c>
    </row>
    <row r="841" spans="1:2" x14ac:dyDescent="0.2">
      <c r="A841">
        <v>-3506.1703338955413</v>
      </c>
      <c r="B841">
        <v>-7804.8758133756928</v>
      </c>
    </row>
    <row r="842" spans="1:2" x14ac:dyDescent="0.2">
      <c r="A842">
        <v>7305.3346462695627</v>
      </c>
      <c r="B842">
        <v>-7797.562554662989</v>
      </c>
    </row>
    <row r="843" spans="1:2" x14ac:dyDescent="0.2">
      <c r="A843">
        <v>23343.273106150591</v>
      </c>
      <c r="B843">
        <v>-7795.9407409921405</v>
      </c>
    </row>
    <row r="844" spans="1:2" x14ac:dyDescent="0.2">
      <c r="A844">
        <v>7349.7295247130096</v>
      </c>
      <c r="B844">
        <v>-7784.6738614925998</v>
      </c>
    </row>
    <row r="845" spans="1:2" x14ac:dyDescent="0.2">
      <c r="A845">
        <v>-8998.7391879092029</v>
      </c>
      <c r="B845">
        <v>-7781.3816677207942</v>
      </c>
    </row>
    <row r="846" spans="1:2" x14ac:dyDescent="0.2">
      <c r="A846">
        <v>2777.5961978199775</v>
      </c>
      <c r="B846">
        <v>-7779.1586247373489</v>
      </c>
    </row>
    <row r="847" spans="1:2" x14ac:dyDescent="0.2">
      <c r="A847">
        <v>10574.463562752411</v>
      </c>
      <c r="B847">
        <v>-7770.374926509845</v>
      </c>
    </row>
    <row r="848" spans="1:2" x14ac:dyDescent="0.2">
      <c r="A848">
        <v>2549.5696839434677</v>
      </c>
      <c r="B848">
        <v>-7754.2948485271772</v>
      </c>
    </row>
    <row r="849" spans="1:2" x14ac:dyDescent="0.2">
      <c r="A849">
        <v>-6010.0163032540004</v>
      </c>
      <c r="B849">
        <v>-7750.1527500069351</v>
      </c>
    </row>
    <row r="850" spans="1:2" x14ac:dyDescent="0.2">
      <c r="A850">
        <v>-20005.355563678313</v>
      </c>
      <c r="B850">
        <v>-7748.558640445568</v>
      </c>
    </row>
    <row r="851" spans="1:2" x14ac:dyDescent="0.2">
      <c r="A851">
        <v>-10431.768921024224</v>
      </c>
      <c r="B851">
        <v>-7746.6744834169513</v>
      </c>
    </row>
    <row r="852" spans="1:2" x14ac:dyDescent="0.2">
      <c r="A852">
        <v>-13692.16341923509</v>
      </c>
      <c r="B852">
        <v>-7746.0144536560692</v>
      </c>
    </row>
    <row r="853" spans="1:2" x14ac:dyDescent="0.2">
      <c r="A853">
        <v>-1950.7174694296846</v>
      </c>
      <c r="B853">
        <v>-7740.0437782260124</v>
      </c>
    </row>
    <row r="854" spans="1:2" x14ac:dyDescent="0.2">
      <c r="A854">
        <v>13231.164363896329</v>
      </c>
      <c r="B854">
        <v>-7716.1915006328491</v>
      </c>
    </row>
    <row r="855" spans="1:2" x14ac:dyDescent="0.2">
      <c r="A855">
        <v>10113.431263899955</v>
      </c>
      <c r="B855">
        <v>-7703.4046364765381</v>
      </c>
    </row>
    <row r="856" spans="1:2" x14ac:dyDescent="0.2">
      <c r="A856">
        <v>15117.574875365244</v>
      </c>
      <c r="B856">
        <v>-7700.4322838195949</v>
      </c>
    </row>
    <row r="857" spans="1:2" x14ac:dyDescent="0.2">
      <c r="A857">
        <v>3218.0999306403683</v>
      </c>
      <c r="B857">
        <v>-7700.0697337360471</v>
      </c>
    </row>
    <row r="858" spans="1:2" x14ac:dyDescent="0.2">
      <c r="A858">
        <v>2236.1465066766832</v>
      </c>
      <c r="B858">
        <v>-7699.61113107446</v>
      </c>
    </row>
    <row r="859" spans="1:2" x14ac:dyDescent="0.2">
      <c r="A859">
        <v>621.41719566413667</v>
      </c>
      <c r="B859">
        <v>-7678.688796899718</v>
      </c>
    </row>
    <row r="860" spans="1:2" x14ac:dyDescent="0.2">
      <c r="A860">
        <v>-8616.3643117554602</v>
      </c>
      <c r="B860">
        <v>-7661.4765314823017</v>
      </c>
    </row>
    <row r="861" spans="1:2" x14ac:dyDescent="0.2">
      <c r="A861">
        <v>-2524.1105124665482</v>
      </c>
      <c r="B861">
        <v>-7649.2042287291843</v>
      </c>
    </row>
    <row r="862" spans="1:2" x14ac:dyDescent="0.2">
      <c r="A862">
        <v>2398.9433242408559</v>
      </c>
      <c r="B862">
        <v>-7641.4338633678271</v>
      </c>
    </row>
    <row r="863" spans="1:2" x14ac:dyDescent="0.2">
      <c r="A863">
        <v>16730.515529043681</v>
      </c>
      <c r="B863">
        <v>-7633.2936284799362</v>
      </c>
    </row>
    <row r="864" spans="1:2" x14ac:dyDescent="0.2">
      <c r="A864">
        <v>8829.596087372076</v>
      </c>
      <c r="B864">
        <v>-7625.9697373710369</v>
      </c>
    </row>
    <row r="865" spans="1:2" x14ac:dyDescent="0.2">
      <c r="A865">
        <v>-4092.8331509299751</v>
      </c>
      <c r="B865">
        <v>-7625.3818443965283</v>
      </c>
    </row>
    <row r="866" spans="1:2" x14ac:dyDescent="0.2">
      <c r="A866">
        <v>-3156.4534924406908</v>
      </c>
      <c r="B866">
        <v>-7622.8272254449257</v>
      </c>
    </row>
    <row r="867" spans="1:2" x14ac:dyDescent="0.2">
      <c r="A867">
        <v>10705.463984311238</v>
      </c>
      <c r="B867">
        <v>-7618.7287546900916</v>
      </c>
    </row>
    <row r="868" spans="1:2" x14ac:dyDescent="0.2">
      <c r="A868">
        <v>1073.5254463866877</v>
      </c>
      <c r="B868">
        <v>-7611.7296693814278</v>
      </c>
    </row>
    <row r="869" spans="1:2" x14ac:dyDescent="0.2">
      <c r="A869">
        <v>15846.961280679679</v>
      </c>
      <c r="B869">
        <v>-7606.8341951977345</v>
      </c>
    </row>
    <row r="870" spans="1:2" x14ac:dyDescent="0.2">
      <c r="A870">
        <v>-9357.3260586094111</v>
      </c>
      <c r="B870">
        <v>-7599.9160441174754</v>
      </c>
    </row>
    <row r="871" spans="1:2" x14ac:dyDescent="0.2">
      <c r="A871">
        <v>-2143.2507118773065</v>
      </c>
      <c r="B871">
        <v>-7595.5185559676029</v>
      </c>
    </row>
    <row r="872" spans="1:2" x14ac:dyDescent="0.2">
      <c r="A872">
        <v>4128.8422659789212</v>
      </c>
      <c r="B872">
        <v>-7581.2043178337626</v>
      </c>
    </row>
    <row r="873" spans="1:2" x14ac:dyDescent="0.2">
      <c r="A873">
        <v>-13554.136333090777</v>
      </c>
      <c r="B873">
        <v>-7576.063897037995</v>
      </c>
    </row>
    <row r="874" spans="1:2" x14ac:dyDescent="0.2">
      <c r="A874">
        <v>8132.0870136941376</v>
      </c>
      <c r="B874">
        <v>-7571.7102532239223</v>
      </c>
    </row>
    <row r="875" spans="1:2" x14ac:dyDescent="0.2">
      <c r="A875">
        <v>14241.689458262845</v>
      </c>
      <c r="B875">
        <v>-7559.6763045027328</v>
      </c>
    </row>
    <row r="876" spans="1:2" x14ac:dyDescent="0.2">
      <c r="A876">
        <v>15497.25096137487</v>
      </c>
      <c r="B876">
        <v>-7552.9720634161495</v>
      </c>
    </row>
    <row r="877" spans="1:2" x14ac:dyDescent="0.2">
      <c r="A877">
        <v>-16695.110965028522</v>
      </c>
      <c r="B877">
        <v>-7549.2904362810077</v>
      </c>
    </row>
    <row r="878" spans="1:2" x14ac:dyDescent="0.2">
      <c r="A878">
        <v>12968.40867762483</v>
      </c>
      <c r="B878">
        <v>-7533.5066443986434</v>
      </c>
    </row>
    <row r="879" spans="1:2" x14ac:dyDescent="0.2">
      <c r="A879">
        <v>23489.963968630705</v>
      </c>
      <c r="B879">
        <v>-7530.2745812627836</v>
      </c>
    </row>
    <row r="880" spans="1:2" x14ac:dyDescent="0.2">
      <c r="A880">
        <v>-3411.2582659968466</v>
      </c>
      <c r="B880">
        <v>-7524.2894787814876</v>
      </c>
    </row>
    <row r="881" spans="1:2" x14ac:dyDescent="0.2">
      <c r="A881">
        <v>3298.968602870038</v>
      </c>
      <c r="B881">
        <v>-7517.7036599012208</v>
      </c>
    </row>
    <row r="882" spans="1:2" x14ac:dyDescent="0.2">
      <c r="A882">
        <v>-9011.3920588863839</v>
      </c>
      <c r="B882">
        <v>-7514.4327571345493</v>
      </c>
    </row>
    <row r="883" spans="1:2" x14ac:dyDescent="0.2">
      <c r="A883">
        <v>15097.437597342563</v>
      </c>
      <c r="B883">
        <v>-7512.8697715630406</v>
      </c>
    </row>
    <row r="884" spans="1:2" x14ac:dyDescent="0.2">
      <c r="A884">
        <v>8856.1740199883643</v>
      </c>
      <c r="B884">
        <v>-7489.0979988270556</v>
      </c>
    </row>
    <row r="885" spans="1:2" x14ac:dyDescent="0.2">
      <c r="A885">
        <v>-351.17906890442828</v>
      </c>
      <c r="B885">
        <v>-7479.733515867294</v>
      </c>
    </row>
    <row r="886" spans="1:2" x14ac:dyDescent="0.2">
      <c r="A886">
        <v>-6700.4665126933251</v>
      </c>
      <c r="B886">
        <v>-7478.2385717104189</v>
      </c>
    </row>
    <row r="887" spans="1:2" x14ac:dyDescent="0.2">
      <c r="A887">
        <v>4134.1397390090278</v>
      </c>
      <c r="B887">
        <v>-7461.5461098494707</v>
      </c>
    </row>
    <row r="888" spans="1:2" x14ac:dyDescent="0.2">
      <c r="A888">
        <v>5838.3370795559313</v>
      </c>
      <c r="B888">
        <v>-7440.7820952484908</v>
      </c>
    </row>
    <row r="889" spans="1:2" x14ac:dyDescent="0.2">
      <c r="A889">
        <v>-4562.803298219922</v>
      </c>
      <c r="B889">
        <v>-7433.1643165935238</v>
      </c>
    </row>
    <row r="890" spans="1:2" x14ac:dyDescent="0.2">
      <c r="A890">
        <v>17612.614199406758</v>
      </c>
      <c r="B890">
        <v>-7430.1492353595386</v>
      </c>
    </row>
    <row r="891" spans="1:2" x14ac:dyDescent="0.2">
      <c r="A891">
        <v>11712.453318066197</v>
      </c>
      <c r="B891">
        <v>-7425.3219875996292</v>
      </c>
    </row>
    <row r="892" spans="1:2" x14ac:dyDescent="0.2">
      <c r="A892">
        <v>571.81748795512249</v>
      </c>
      <c r="B892">
        <v>-7412.9322334297467</v>
      </c>
    </row>
    <row r="893" spans="1:2" x14ac:dyDescent="0.2">
      <c r="A893">
        <v>17897.497686897463</v>
      </c>
      <c r="B893">
        <v>-7404.517208480509</v>
      </c>
    </row>
    <row r="894" spans="1:2" x14ac:dyDescent="0.2">
      <c r="A894">
        <v>13683.00346239662</v>
      </c>
      <c r="B894">
        <v>-7399.6744852474658</v>
      </c>
    </row>
    <row r="895" spans="1:2" x14ac:dyDescent="0.2">
      <c r="A895">
        <v>1820.4259211868048</v>
      </c>
      <c r="B895">
        <v>-7396.3063849947648</v>
      </c>
    </row>
    <row r="896" spans="1:2" x14ac:dyDescent="0.2">
      <c r="A896">
        <v>6237.110167705745</v>
      </c>
      <c r="B896">
        <v>-7387.3797933086171</v>
      </c>
    </row>
    <row r="897" spans="1:2" x14ac:dyDescent="0.2">
      <c r="A897">
        <v>7062.3575307338615</v>
      </c>
      <c r="B897">
        <v>-7384.0525067836279</v>
      </c>
    </row>
    <row r="898" spans="1:2" x14ac:dyDescent="0.2">
      <c r="A898">
        <v>3112.590054659755</v>
      </c>
      <c r="B898">
        <v>-7371.5238527810434</v>
      </c>
    </row>
    <row r="899" spans="1:2" x14ac:dyDescent="0.2">
      <c r="A899">
        <v>-6120.2762649972574</v>
      </c>
      <c r="B899">
        <v>-7362.7474173928495</v>
      </c>
    </row>
    <row r="900" spans="1:2" x14ac:dyDescent="0.2">
      <c r="A900">
        <v>-8475.0691636301344</v>
      </c>
      <c r="B900">
        <v>-7356.0140211686376</v>
      </c>
    </row>
    <row r="901" spans="1:2" x14ac:dyDescent="0.2">
      <c r="A901">
        <v>3611.2691054808092</v>
      </c>
      <c r="B901">
        <v>-7341.4768855178845</v>
      </c>
    </row>
    <row r="902" spans="1:2" x14ac:dyDescent="0.2">
      <c r="A902">
        <v>-8043.3726235425565</v>
      </c>
      <c r="B902">
        <v>-7332.7036998838303</v>
      </c>
    </row>
    <row r="903" spans="1:2" x14ac:dyDescent="0.2">
      <c r="A903">
        <v>-988.70901329439948</v>
      </c>
      <c r="B903">
        <v>-7330.3557101126062</v>
      </c>
    </row>
    <row r="904" spans="1:2" x14ac:dyDescent="0.2">
      <c r="A904">
        <v>6997.142990165099</v>
      </c>
      <c r="B904">
        <v>-7328.3872043728188</v>
      </c>
    </row>
    <row r="905" spans="1:2" x14ac:dyDescent="0.2">
      <c r="A905">
        <v>-7750.1527500069351</v>
      </c>
      <c r="B905">
        <v>-7306.4793075175548</v>
      </c>
    </row>
    <row r="906" spans="1:2" x14ac:dyDescent="0.2">
      <c r="A906">
        <v>5692.5098152754654</v>
      </c>
      <c r="B906">
        <v>-7257.8549058271456</v>
      </c>
    </row>
    <row r="907" spans="1:2" x14ac:dyDescent="0.2">
      <c r="A907">
        <v>12224.588207874593</v>
      </c>
      <c r="B907">
        <v>-7254.1526975987363</v>
      </c>
    </row>
    <row r="908" spans="1:2" x14ac:dyDescent="0.2">
      <c r="A908">
        <v>7066.5573499012971</v>
      </c>
      <c r="B908">
        <v>-7242.3710375317605</v>
      </c>
    </row>
    <row r="909" spans="1:2" x14ac:dyDescent="0.2">
      <c r="A909">
        <v>4808.0702221114479</v>
      </c>
      <c r="B909">
        <v>-7229.1435495787882</v>
      </c>
    </row>
    <row r="910" spans="1:2" x14ac:dyDescent="0.2">
      <c r="A910">
        <v>-663.07878981705289</v>
      </c>
      <c r="B910">
        <v>-7228.8716838483233</v>
      </c>
    </row>
    <row r="911" spans="1:2" x14ac:dyDescent="0.2">
      <c r="A911">
        <v>9211.2947735988419</v>
      </c>
      <c r="B911">
        <v>-7228.2171438318328</v>
      </c>
    </row>
    <row r="912" spans="1:2" x14ac:dyDescent="0.2">
      <c r="A912">
        <v>-3110.7836773958988</v>
      </c>
      <c r="B912">
        <v>-7219.5590827595734</v>
      </c>
    </row>
    <row r="913" spans="1:2" x14ac:dyDescent="0.2">
      <c r="A913">
        <v>-9030.1310746019008</v>
      </c>
      <c r="B913">
        <v>-7218.1009607214364</v>
      </c>
    </row>
    <row r="914" spans="1:2" x14ac:dyDescent="0.2">
      <c r="A914">
        <v>-910.73452636584989</v>
      </c>
      <c r="B914">
        <v>-7216.3742132294574</v>
      </c>
    </row>
    <row r="915" spans="1:2" x14ac:dyDescent="0.2">
      <c r="A915">
        <v>-20523.897737790539</v>
      </c>
      <c r="B915">
        <v>-7213.7627780294279</v>
      </c>
    </row>
    <row r="916" spans="1:2" x14ac:dyDescent="0.2">
      <c r="A916">
        <v>-456.63043547869893</v>
      </c>
      <c r="B916">
        <v>-7210.983344226348</v>
      </c>
    </row>
    <row r="917" spans="1:2" x14ac:dyDescent="0.2">
      <c r="A917">
        <v>-415.4275788028026</v>
      </c>
      <c r="B917">
        <v>-7207.0278288378904</v>
      </c>
    </row>
    <row r="918" spans="1:2" x14ac:dyDescent="0.2">
      <c r="A918">
        <v>-2908.2800577729067</v>
      </c>
      <c r="B918">
        <v>-7178.9547775893589</v>
      </c>
    </row>
    <row r="919" spans="1:2" x14ac:dyDescent="0.2">
      <c r="A919">
        <v>-1476.2809359008097</v>
      </c>
      <c r="B919">
        <v>-7167.7899726490723</v>
      </c>
    </row>
    <row r="920" spans="1:2" x14ac:dyDescent="0.2">
      <c r="A920">
        <v>10781.09953602188</v>
      </c>
      <c r="B920">
        <v>-7163.790562940354</v>
      </c>
    </row>
    <row r="921" spans="1:2" x14ac:dyDescent="0.2">
      <c r="A921">
        <v>3779.9810449490324</v>
      </c>
      <c r="B921">
        <v>-7151.7361674380081</v>
      </c>
    </row>
    <row r="922" spans="1:2" x14ac:dyDescent="0.2">
      <c r="A922">
        <v>-8959.5367627526866</v>
      </c>
      <c r="B922">
        <v>-7144.8716058281425</v>
      </c>
    </row>
    <row r="923" spans="1:2" x14ac:dyDescent="0.2">
      <c r="A923">
        <v>1329.0097434471245</v>
      </c>
      <c r="B923">
        <v>-7137.8056634950335</v>
      </c>
    </row>
    <row r="924" spans="1:2" x14ac:dyDescent="0.2">
      <c r="A924">
        <v>-10.720868676376995</v>
      </c>
      <c r="B924">
        <v>-7110.4323149382253</v>
      </c>
    </row>
    <row r="925" spans="1:2" x14ac:dyDescent="0.2">
      <c r="A925">
        <v>-1486.8542251974577</v>
      </c>
      <c r="B925">
        <v>-7108.4801120059274</v>
      </c>
    </row>
    <row r="926" spans="1:2" x14ac:dyDescent="0.2">
      <c r="A926">
        <v>31642.976623636496</v>
      </c>
      <c r="B926">
        <v>-7105.4961572880275</v>
      </c>
    </row>
    <row r="927" spans="1:2" x14ac:dyDescent="0.2">
      <c r="A927">
        <v>-2910.1076594687474</v>
      </c>
      <c r="B927">
        <v>-7104.3474386192975</v>
      </c>
    </row>
    <row r="928" spans="1:2" x14ac:dyDescent="0.2">
      <c r="A928">
        <v>-6030.185431363876</v>
      </c>
      <c r="B928">
        <v>-7093.4958464106603</v>
      </c>
    </row>
    <row r="929" spans="1:2" x14ac:dyDescent="0.2">
      <c r="A929">
        <v>3488.8427104813745</v>
      </c>
      <c r="B929">
        <v>-7077.1931467654649</v>
      </c>
    </row>
    <row r="930" spans="1:2" x14ac:dyDescent="0.2">
      <c r="A930">
        <v>894.39793113543419</v>
      </c>
      <c r="B930">
        <v>-7074.4253969015845</v>
      </c>
    </row>
    <row r="931" spans="1:2" x14ac:dyDescent="0.2">
      <c r="A931">
        <v>-3238.4288683128252</v>
      </c>
      <c r="B931">
        <v>-7057.4938376107602</v>
      </c>
    </row>
    <row r="932" spans="1:2" x14ac:dyDescent="0.2">
      <c r="A932">
        <v>-8432.6356854379992</v>
      </c>
      <c r="B932">
        <v>-7036.383136433491</v>
      </c>
    </row>
    <row r="933" spans="1:2" x14ac:dyDescent="0.2">
      <c r="A933">
        <v>921.96749132516561</v>
      </c>
      <c r="B933">
        <v>-7031.1587360192789</v>
      </c>
    </row>
    <row r="934" spans="1:2" x14ac:dyDescent="0.2">
      <c r="A934">
        <v>9573.3406762959494</v>
      </c>
      <c r="B934">
        <v>-7027.8173978315317</v>
      </c>
    </row>
    <row r="935" spans="1:2" x14ac:dyDescent="0.2">
      <c r="A935">
        <v>2947.0758636909886</v>
      </c>
      <c r="B935">
        <v>-7018.3813722264895</v>
      </c>
    </row>
    <row r="936" spans="1:2" x14ac:dyDescent="0.2">
      <c r="A936">
        <v>15674.016296901536</v>
      </c>
      <c r="B936">
        <v>-7016.6685955878929</v>
      </c>
    </row>
    <row r="937" spans="1:2" x14ac:dyDescent="0.2">
      <c r="A937">
        <v>7543.5842220447375</v>
      </c>
      <c r="B937">
        <v>-7013.8931172788434</v>
      </c>
    </row>
    <row r="938" spans="1:2" x14ac:dyDescent="0.2">
      <c r="A938">
        <v>15069.023795404006</v>
      </c>
      <c r="B938">
        <v>-7003.3248531701392</v>
      </c>
    </row>
    <row r="939" spans="1:2" x14ac:dyDescent="0.2">
      <c r="A939">
        <v>8313.5329377026646</v>
      </c>
      <c r="B939">
        <v>-6980.8538658430043</v>
      </c>
    </row>
    <row r="940" spans="1:2" x14ac:dyDescent="0.2">
      <c r="A940">
        <v>-10670.89126614132</v>
      </c>
      <c r="B940">
        <v>-6979.411388582841</v>
      </c>
    </row>
    <row r="941" spans="1:2" x14ac:dyDescent="0.2">
      <c r="A941">
        <v>-3680.4800855442882</v>
      </c>
      <c r="B941">
        <v>-6978.7892755996145</v>
      </c>
    </row>
    <row r="942" spans="1:2" x14ac:dyDescent="0.2">
      <c r="A942">
        <v>2629.8268448877498</v>
      </c>
      <c r="B942">
        <v>-6978.3918699714704</v>
      </c>
    </row>
    <row r="943" spans="1:2" x14ac:dyDescent="0.2">
      <c r="A943">
        <v>-763.79209808929591</v>
      </c>
      <c r="B943">
        <v>-6945.1319322952186</v>
      </c>
    </row>
    <row r="944" spans="1:2" x14ac:dyDescent="0.2">
      <c r="A944">
        <v>-9342.3852126543061</v>
      </c>
      <c r="B944">
        <v>-6941.0432578646578</v>
      </c>
    </row>
    <row r="945" spans="1:2" x14ac:dyDescent="0.2">
      <c r="A945">
        <v>12341.474315646454</v>
      </c>
      <c r="B945">
        <v>-6940.3714129409636</v>
      </c>
    </row>
    <row r="946" spans="1:2" x14ac:dyDescent="0.2">
      <c r="A946">
        <v>7804.2755239961552</v>
      </c>
      <c r="B946">
        <v>-6939.8559903676796</v>
      </c>
    </row>
    <row r="947" spans="1:2" x14ac:dyDescent="0.2">
      <c r="A947">
        <v>-4255.198237486271</v>
      </c>
      <c r="B947">
        <v>-6937.3570308710623</v>
      </c>
    </row>
    <row r="948" spans="1:2" x14ac:dyDescent="0.2">
      <c r="A948">
        <v>1003.7232602033182</v>
      </c>
      <c r="B948">
        <v>-6931.3719156473526</v>
      </c>
    </row>
    <row r="949" spans="1:2" x14ac:dyDescent="0.2">
      <c r="A949">
        <v>2345.1882854333962</v>
      </c>
      <c r="B949">
        <v>-6923.3023419786477</v>
      </c>
    </row>
    <row r="950" spans="1:2" x14ac:dyDescent="0.2">
      <c r="A950">
        <v>-10947.02509825505</v>
      </c>
      <c r="B950">
        <v>-6910.2930383962812</v>
      </c>
    </row>
    <row r="951" spans="1:2" x14ac:dyDescent="0.2">
      <c r="A951">
        <v>-1719.0843527048128</v>
      </c>
      <c r="B951">
        <v>-6903.8555583835696</v>
      </c>
    </row>
    <row r="952" spans="1:2" x14ac:dyDescent="0.2">
      <c r="A952">
        <v>10983.861293343885</v>
      </c>
      <c r="B952">
        <v>-6901.244460703223</v>
      </c>
    </row>
    <row r="953" spans="1:2" x14ac:dyDescent="0.2">
      <c r="A953">
        <v>558.977902391518</v>
      </c>
      <c r="B953">
        <v>-6900.3301055357442</v>
      </c>
    </row>
    <row r="954" spans="1:2" x14ac:dyDescent="0.2">
      <c r="A954">
        <v>3659.6834384423564</v>
      </c>
      <c r="B954">
        <v>-6887.3811147249071</v>
      </c>
    </row>
    <row r="955" spans="1:2" x14ac:dyDescent="0.2">
      <c r="A955">
        <v>-12619.414883039193</v>
      </c>
      <c r="B955">
        <v>-6867.0135839062277</v>
      </c>
    </row>
    <row r="956" spans="1:2" x14ac:dyDescent="0.2">
      <c r="A956">
        <v>3637.1722395970719</v>
      </c>
      <c r="B956">
        <v>-6866.3432839275338</v>
      </c>
    </row>
    <row r="957" spans="1:2" x14ac:dyDescent="0.2">
      <c r="A957">
        <v>-5691.8958928287902</v>
      </c>
      <c r="B957">
        <v>-6865.940369058575</v>
      </c>
    </row>
    <row r="958" spans="1:2" x14ac:dyDescent="0.2">
      <c r="A958">
        <v>-22607.014745686582</v>
      </c>
      <c r="B958">
        <v>-6849.5373834652128</v>
      </c>
    </row>
    <row r="959" spans="1:2" x14ac:dyDescent="0.2">
      <c r="A959">
        <v>16094.459595813183</v>
      </c>
      <c r="B959">
        <v>-6844.9594347873644</v>
      </c>
    </row>
    <row r="960" spans="1:2" x14ac:dyDescent="0.2">
      <c r="A960">
        <v>2076.6654826110462</v>
      </c>
      <c r="B960">
        <v>-6840.3165607873234</v>
      </c>
    </row>
    <row r="961" spans="1:2" x14ac:dyDescent="0.2">
      <c r="A961">
        <v>-436.40960031014401</v>
      </c>
      <c r="B961">
        <v>-6825.787140944507</v>
      </c>
    </row>
    <row r="962" spans="1:2" x14ac:dyDescent="0.2">
      <c r="A962">
        <v>20137.122813390335</v>
      </c>
      <c r="B962">
        <v>-6821.2985326453054</v>
      </c>
    </row>
    <row r="963" spans="1:2" x14ac:dyDescent="0.2">
      <c r="A963">
        <v>3828.4584174836637</v>
      </c>
      <c r="B963">
        <v>-6816.796191497473</v>
      </c>
    </row>
    <row r="964" spans="1:2" x14ac:dyDescent="0.2">
      <c r="A964">
        <v>3040.3847342036315</v>
      </c>
      <c r="B964">
        <v>-6814.5313963942754</v>
      </c>
    </row>
    <row r="965" spans="1:2" x14ac:dyDescent="0.2">
      <c r="A965">
        <v>15893.613527942187</v>
      </c>
      <c r="B965">
        <v>-6799.731366664957</v>
      </c>
    </row>
    <row r="966" spans="1:2" x14ac:dyDescent="0.2">
      <c r="A966">
        <v>8491.7740902711521</v>
      </c>
      <c r="B966">
        <v>-6785.7531764945306</v>
      </c>
    </row>
    <row r="967" spans="1:2" x14ac:dyDescent="0.2">
      <c r="A967">
        <v>15086.698255876312</v>
      </c>
      <c r="B967">
        <v>-6782.5522330200765</v>
      </c>
    </row>
    <row r="968" spans="1:2" x14ac:dyDescent="0.2">
      <c r="A968">
        <v>19151.579899112199</v>
      </c>
      <c r="B968">
        <v>-6782.3269714422058</v>
      </c>
    </row>
    <row r="969" spans="1:2" x14ac:dyDescent="0.2">
      <c r="A969">
        <v>-944.31359568727203</v>
      </c>
      <c r="B969">
        <v>-6777.1295801888627</v>
      </c>
    </row>
    <row r="970" spans="1:2" x14ac:dyDescent="0.2">
      <c r="A970">
        <v>3087.8767979472759</v>
      </c>
      <c r="B970">
        <v>-6772.8577788551629</v>
      </c>
    </row>
    <row r="971" spans="1:2" x14ac:dyDescent="0.2">
      <c r="A971">
        <v>4539.0061400552804</v>
      </c>
      <c r="B971">
        <v>-6766.6076264475414</v>
      </c>
    </row>
    <row r="972" spans="1:2" x14ac:dyDescent="0.2">
      <c r="A972">
        <v>-136.38955219154013</v>
      </c>
      <c r="B972">
        <v>-6758.0095775436494</v>
      </c>
    </row>
    <row r="973" spans="1:2" x14ac:dyDescent="0.2">
      <c r="A973">
        <v>7592.6938936855004</v>
      </c>
      <c r="B973">
        <v>-6753.8021996184252</v>
      </c>
    </row>
    <row r="974" spans="1:2" x14ac:dyDescent="0.2">
      <c r="A974">
        <v>12243.134308968351</v>
      </c>
      <c r="B974">
        <v>-6750.9704108595033</v>
      </c>
    </row>
    <row r="975" spans="1:2" x14ac:dyDescent="0.2">
      <c r="A975">
        <v>21563.984272339323</v>
      </c>
      <c r="B975">
        <v>-6750.3667640811182</v>
      </c>
    </row>
    <row r="976" spans="1:2" x14ac:dyDescent="0.2">
      <c r="A976">
        <v>-2447.099024915311</v>
      </c>
      <c r="B976">
        <v>-6749.9850889701629</v>
      </c>
    </row>
    <row r="977" spans="1:2" x14ac:dyDescent="0.2">
      <c r="A977">
        <v>-11692.145712997008</v>
      </c>
      <c r="B977">
        <v>-6726.739692566538</v>
      </c>
    </row>
    <row r="978" spans="1:2" x14ac:dyDescent="0.2">
      <c r="A978">
        <v>2690.7364485799335</v>
      </c>
      <c r="B978">
        <v>-6723.4911595288431</v>
      </c>
    </row>
    <row r="979" spans="1:2" x14ac:dyDescent="0.2">
      <c r="A979">
        <v>7160.4221657303569</v>
      </c>
      <c r="B979">
        <v>-6719.1617301710066</v>
      </c>
    </row>
    <row r="980" spans="1:2" x14ac:dyDescent="0.2">
      <c r="A980">
        <v>-9487.7182552787126</v>
      </c>
      <c r="B980">
        <v>-6715.3115621817997</v>
      </c>
    </row>
    <row r="981" spans="1:2" x14ac:dyDescent="0.2">
      <c r="A981">
        <v>2849.9372649741999</v>
      </c>
      <c r="B981">
        <v>-6701.5282545514638</v>
      </c>
    </row>
    <row r="982" spans="1:2" x14ac:dyDescent="0.2">
      <c r="A982">
        <v>-5858.4216586477705</v>
      </c>
      <c r="B982">
        <v>-6700.4665126933251</v>
      </c>
    </row>
    <row r="983" spans="1:2" x14ac:dyDescent="0.2">
      <c r="A983">
        <v>-6785.7531764945306</v>
      </c>
      <c r="B983">
        <v>-6694.7870101652807</v>
      </c>
    </row>
    <row r="984" spans="1:2" x14ac:dyDescent="0.2">
      <c r="A984">
        <v>7016.7088421796507</v>
      </c>
      <c r="B984">
        <v>-6687.2980191090028</v>
      </c>
    </row>
    <row r="985" spans="1:2" x14ac:dyDescent="0.2">
      <c r="A985">
        <v>-4117.0033676670282</v>
      </c>
      <c r="B985">
        <v>-6684.3270196359081</v>
      </c>
    </row>
    <row r="986" spans="1:2" x14ac:dyDescent="0.2">
      <c r="A986">
        <v>11446.767962351412</v>
      </c>
      <c r="B986">
        <v>-6671.9352224193281</v>
      </c>
    </row>
    <row r="987" spans="1:2" x14ac:dyDescent="0.2">
      <c r="A987">
        <v>-68.855641812115209</v>
      </c>
      <c r="B987">
        <v>-6655.3870318333502</v>
      </c>
    </row>
    <row r="988" spans="1:2" x14ac:dyDescent="0.2">
      <c r="A988">
        <v>9509.0074317360122</v>
      </c>
      <c r="B988">
        <v>-6624.096460232453</v>
      </c>
    </row>
    <row r="989" spans="1:2" x14ac:dyDescent="0.2">
      <c r="A989">
        <v>-4423.4341305227426</v>
      </c>
      <c r="B989">
        <v>-6606.6335266714159</v>
      </c>
    </row>
    <row r="990" spans="1:2" x14ac:dyDescent="0.2">
      <c r="A990">
        <v>2630.9677348827827</v>
      </c>
      <c r="B990">
        <v>-6599.0981103886443</v>
      </c>
    </row>
    <row r="991" spans="1:2" x14ac:dyDescent="0.2">
      <c r="A991">
        <v>-1689.5495184079045</v>
      </c>
      <c r="B991">
        <v>-6577.9859964083735</v>
      </c>
    </row>
    <row r="992" spans="1:2" x14ac:dyDescent="0.2">
      <c r="A992">
        <v>-8900.5034246189171</v>
      </c>
      <c r="B992">
        <v>-6560.8067253900226</v>
      </c>
    </row>
    <row r="993" spans="1:2" x14ac:dyDescent="0.2">
      <c r="A993">
        <v>-11485.43952005764</v>
      </c>
      <c r="B993">
        <v>-6551.378426868876</v>
      </c>
    </row>
    <row r="994" spans="1:2" x14ac:dyDescent="0.2">
      <c r="A994">
        <v>-11274.777220132557</v>
      </c>
      <c r="B994">
        <v>-6550.5065243224672</v>
      </c>
    </row>
    <row r="995" spans="1:2" x14ac:dyDescent="0.2">
      <c r="A995">
        <v>8721.7969962260104</v>
      </c>
      <c r="B995">
        <v>-6541.6347066387534</v>
      </c>
    </row>
    <row r="996" spans="1:2" x14ac:dyDescent="0.2">
      <c r="A996">
        <v>2218.0371681958786</v>
      </c>
      <c r="B996">
        <v>-6534.3090604838217</v>
      </c>
    </row>
    <row r="997" spans="1:2" x14ac:dyDescent="0.2">
      <c r="A997">
        <v>791.57710567375761</v>
      </c>
      <c r="B997">
        <v>-6530.566861413914</v>
      </c>
    </row>
    <row r="998" spans="1:2" x14ac:dyDescent="0.2">
      <c r="A998">
        <v>7003.8077042785008</v>
      </c>
      <c r="B998">
        <v>-6521.4813199517084</v>
      </c>
    </row>
    <row r="999" spans="1:2" x14ac:dyDescent="0.2">
      <c r="A999">
        <v>-31241.242689180304</v>
      </c>
      <c r="B999">
        <v>-6497.47536022024</v>
      </c>
    </row>
    <row r="1000" spans="1:2" x14ac:dyDescent="0.2">
      <c r="A1000">
        <v>-35215.44633342023</v>
      </c>
      <c r="B1000">
        <v>-6497.1798573031556</v>
      </c>
    </row>
    <row r="1001" spans="1:2" x14ac:dyDescent="0.2">
      <c r="A1001">
        <v>120.71268087864155</v>
      </c>
      <c r="B1001">
        <v>-6496.7089706457336</v>
      </c>
    </row>
    <row r="1002" spans="1:2" x14ac:dyDescent="0.2">
      <c r="A1002">
        <v>-20802.441132162174</v>
      </c>
      <c r="B1002">
        <v>-6482.2645036875037</v>
      </c>
    </row>
    <row r="1003" spans="1:2" x14ac:dyDescent="0.2">
      <c r="A1003">
        <v>-6758.0095775436494</v>
      </c>
      <c r="B1003">
        <v>-6480.6529491609544</v>
      </c>
    </row>
    <row r="1004" spans="1:2" x14ac:dyDescent="0.2">
      <c r="A1004">
        <v>-1813.7101805556158</v>
      </c>
      <c r="B1004">
        <v>-6457.4934326430666</v>
      </c>
    </row>
    <row r="1005" spans="1:2" x14ac:dyDescent="0.2">
      <c r="A1005">
        <v>-7927.6155195079336</v>
      </c>
      <c r="B1005">
        <v>-6420.1374668458884</v>
      </c>
    </row>
    <row r="1006" spans="1:2" x14ac:dyDescent="0.2">
      <c r="A1006">
        <v>4255.8591370598297</v>
      </c>
      <c r="B1006">
        <v>-6416.1754092775809</v>
      </c>
    </row>
    <row r="1007" spans="1:2" x14ac:dyDescent="0.2">
      <c r="A1007">
        <v>-2824.4796782076301</v>
      </c>
      <c r="B1007">
        <v>-6407.4065671694116</v>
      </c>
    </row>
    <row r="1008" spans="1:2" x14ac:dyDescent="0.2">
      <c r="A1008">
        <v>9486.8185438922956</v>
      </c>
      <c r="B1008">
        <v>-6406.7036603585584</v>
      </c>
    </row>
    <row r="1009" spans="1:2" x14ac:dyDescent="0.2">
      <c r="A1009">
        <v>409.45236410576035</v>
      </c>
      <c r="B1009">
        <v>-6403.0475452223909</v>
      </c>
    </row>
    <row r="1010" spans="1:2" x14ac:dyDescent="0.2">
      <c r="A1010">
        <v>-27550.358501431125</v>
      </c>
      <c r="B1010">
        <v>-6391.1360735793423</v>
      </c>
    </row>
    <row r="1011" spans="1:2" x14ac:dyDescent="0.2">
      <c r="A1011">
        <v>10172.598182538175</v>
      </c>
      <c r="B1011">
        <v>-6387.8552883728407</v>
      </c>
    </row>
    <row r="1012" spans="1:2" x14ac:dyDescent="0.2">
      <c r="A1012">
        <v>-8524.7135820416734</v>
      </c>
      <c r="B1012">
        <v>-6380.8131121007609</v>
      </c>
    </row>
    <row r="1013" spans="1:2" x14ac:dyDescent="0.2">
      <c r="A1013">
        <v>455.58612238423666</v>
      </c>
      <c r="B1013">
        <v>-6369.6956720248854</v>
      </c>
    </row>
    <row r="1014" spans="1:2" x14ac:dyDescent="0.2">
      <c r="A1014">
        <v>-789.2923806173203</v>
      </c>
      <c r="B1014">
        <v>-6369.6861238687998</v>
      </c>
    </row>
    <row r="1015" spans="1:2" x14ac:dyDescent="0.2">
      <c r="A1015">
        <v>2604.0060574050876</v>
      </c>
      <c r="B1015">
        <v>-6367.034929315676</v>
      </c>
    </row>
    <row r="1016" spans="1:2" x14ac:dyDescent="0.2">
      <c r="A1016">
        <v>-1573.3711386637879</v>
      </c>
      <c r="B1016">
        <v>-6338.984506681154</v>
      </c>
    </row>
    <row r="1017" spans="1:2" x14ac:dyDescent="0.2">
      <c r="A1017">
        <v>-15.37379627651535</v>
      </c>
      <c r="B1017">
        <v>-6334.7640346612025</v>
      </c>
    </row>
    <row r="1018" spans="1:2" x14ac:dyDescent="0.2">
      <c r="A1018">
        <v>-7618.7287546900916</v>
      </c>
      <c r="B1018">
        <v>-6333.3665779212606</v>
      </c>
    </row>
    <row r="1019" spans="1:2" x14ac:dyDescent="0.2">
      <c r="A1019">
        <v>-24689.672185441596</v>
      </c>
      <c r="B1019">
        <v>-6328.981304842222</v>
      </c>
    </row>
    <row r="1020" spans="1:2" x14ac:dyDescent="0.2">
      <c r="A1020">
        <v>9364.697685675812</v>
      </c>
      <c r="B1020">
        <v>-6314.8438500859193</v>
      </c>
    </row>
    <row r="1021" spans="1:2" x14ac:dyDescent="0.2">
      <c r="A1021">
        <v>18648.320661580452</v>
      </c>
      <c r="B1021">
        <v>-6314.316206770076</v>
      </c>
    </row>
    <row r="1022" spans="1:2" x14ac:dyDescent="0.2">
      <c r="A1022">
        <v>13641.422219725064</v>
      </c>
      <c r="B1022">
        <v>-6313.4481354265008</v>
      </c>
    </row>
    <row r="1023" spans="1:2" x14ac:dyDescent="0.2">
      <c r="A1023">
        <v>5362.4790523959091</v>
      </c>
      <c r="B1023">
        <v>-6303.7328805094003</v>
      </c>
    </row>
    <row r="1024" spans="1:2" x14ac:dyDescent="0.2">
      <c r="A1024">
        <v>2910.7646753660229</v>
      </c>
      <c r="B1024">
        <v>-6278.3516271223198</v>
      </c>
    </row>
    <row r="1025" spans="1:2" x14ac:dyDescent="0.2">
      <c r="A1025">
        <v>2014.2665095952107</v>
      </c>
      <c r="B1025">
        <v>-6265.148822434363</v>
      </c>
    </row>
    <row r="1026" spans="1:2" x14ac:dyDescent="0.2">
      <c r="A1026">
        <v>-1824.2260093376099</v>
      </c>
      <c r="B1026">
        <v>-6232.1321806315682</v>
      </c>
    </row>
    <row r="1027" spans="1:2" x14ac:dyDescent="0.2">
      <c r="A1027">
        <v>12440.866027099895</v>
      </c>
      <c r="B1027">
        <v>-6223.842128121003</v>
      </c>
    </row>
    <row r="1028" spans="1:2" x14ac:dyDescent="0.2">
      <c r="A1028">
        <v>9911.3709729750408</v>
      </c>
      <c r="B1028">
        <v>-6214.6196894357563</v>
      </c>
    </row>
    <row r="1029" spans="1:2" x14ac:dyDescent="0.2">
      <c r="A1029">
        <v>-8750.4511344534985</v>
      </c>
      <c r="B1029">
        <v>-6205.6166428931756</v>
      </c>
    </row>
    <row r="1030" spans="1:2" x14ac:dyDescent="0.2">
      <c r="A1030">
        <v>-354.09631084554712</v>
      </c>
      <c r="B1030">
        <v>-6197.955243621429</v>
      </c>
    </row>
    <row r="1031" spans="1:2" x14ac:dyDescent="0.2">
      <c r="A1031">
        <v>8107.6378327215789</v>
      </c>
      <c r="B1031">
        <v>-6197.0307781521988</v>
      </c>
    </row>
    <row r="1032" spans="1:2" x14ac:dyDescent="0.2">
      <c r="A1032">
        <v>-647.81364940162166</v>
      </c>
      <c r="B1032">
        <v>-6193.3938117703947</v>
      </c>
    </row>
    <row r="1033" spans="1:2" x14ac:dyDescent="0.2">
      <c r="A1033">
        <v>-17516.667462155514</v>
      </c>
      <c r="B1033">
        <v>-6188.356736655056</v>
      </c>
    </row>
    <row r="1034" spans="1:2" x14ac:dyDescent="0.2">
      <c r="A1034">
        <v>18193.161966888933</v>
      </c>
      <c r="B1034">
        <v>-6172.5675425531808</v>
      </c>
    </row>
    <row r="1035" spans="1:2" x14ac:dyDescent="0.2">
      <c r="A1035">
        <v>3696.4574299171218</v>
      </c>
      <c r="B1035">
        <v>-6160.2066849186085</v>
      </c>
    </row>
    <row r="1036" spans="1:2" x14ac:dyDescent="0.2">
      <c r="A1036">
        <v>3575.4675485097687</v>
      </c>
      <c r="B1036">
        <v>-6155.3557047300856</v>
      </c>
    </row>
    <row r="1037" spans="1:2" x14ac:dyDescent="0.2">
      <c r="A1037">
        <v>-8341.5733541008667</v>
      </c>
      <c r="B1037">
        <v>-6139.3152653358411</v>
      </c>
    </row>
    <row r="1038" spans="1:2" x14ac:dyDescent="0.2">
      <c r="A1038">
        <v>-3863.6069896578556</v>
      </c>
      <c r="B1038">
        <v>-6120.2762649972574</v>
      </c>
    </row>
    <row r="1039" spans="1:2" x14ac:dyDescent="0.2">
      <c r="A1039">
        <v>-818.26368346982053</v>
      </c>
      <c r="B1039">
        <v>-6107.2921430283168</v>
      </c>
    </row>
    <row r="1040" spans="1:2" x14ac:dyDescent="0.2">
      <c r="A1040">
        <v>15430.760044801544</v>
      </c>
      <c r="B1040">
        <v>-6093.4291831784067</v>
      </c>
    </row>
    <row r="1041" spans="1:2" x14ac:dyDescent="0.2">
      <c r="A1041">
        <v>-4028.5778676106711</v>
      </c>
      <c r="B1041">
        <v>-6093.1543693301501</v>
      </c>
    </row>
    <row r="1042" spans="1:2" x14ac:dyDescent="0.2">
      <c r="A1042">
        <v>17572.101190470217</v>
      </c>
      <c r="B1042">
        <v>-6092.2778270446579</v>
      </c>
    </row>
    <row r="1043" spans="1:2" x14ac:dyDescent="0.2">
      <c r="A1043">
        <v>10717.437833626609</v>
      </c>
      <c r="B1043">
        <v>-6079.5536210412101</v>
      </c>
    </row>
    <row r="1044" spans="1:2" x14ac:dyDescent="0.2">
      <c r="A1044">
        <v>-22578.64250989788</v>
      </c>
      <c r="B1044">
        <v>-6059.2647480758314</v>
      </c>
    </row>
    <row r="1045" spans="1:2" x14ac:dyDescent="0.2">
      <c r="A1045">
        <v>-1895.9811705866305</v>
      </c>
      <c r="B1045">
        <v>-6058.2395870764158</v>
      </c>
    </row>
    <row r="1046" spans="1:2" x14ac:dyDescent="0.2">
      <c r="A1046">
        <v>1906.246414170455</v>
      </c>
      <c r="B1046">
        <v>-6056.8221779799496</v>
      </c>
    </row>
    <row r="1047" spans="1:2" x14ac:dyDescent="0.2">
      <c r="A1047">
        <v>3936.79768226124</v>
      </c>
      <c r="B1047">
        <v>-6052.7675140897336</v>
      </c>
    </row>
    <row r="1048" spans="1:2" x14ac:dyDescent="0.2">
      <c r="A1048">
        <v>2386.3679495444521</v>
      </c>
      <c r="B1048">
        <v>-6036.5151388118393</v>
      </c>
    </row>
    <row r="1049" spans="1:2" x14ac:dyDescent="0.2">
      <c r="A1049">
        <v>8645.2001931335544</v>
      </c>
      <c r="B1049">
        <v>-6035.1243588197976</v>
      </c>
    </row>
    <row r="1050" spans="1:2" x14ac:dyDescent="0.2">
      <c r="A1050">
        <v>-14540.374293698522</v>
      </c>
      <c r="B1050">
        <v>-6031.856124992948</v>
      </c>
    </row>
    <row r="1051" spans="1:2" x14ac:dyDescent="0.2">
      <c r="A1051">
        <v>12286.526964592631</v>
      </c>
      <c r="B1051">
        <v>-6030.185431363876</v>
      </c>
    </row>
    <row r="1052" spans="1:2" x14ac:dyDescent="0.2">
      <c r="A1052">
        <v>-6313.4481354265008</v>
      </c>
      <c r="B1052">
        <v>-6010.0163032540004</v>
      </c>
    </row>
    <row r="1053" spans="1:2" x14ac:dyDescent="0.2">
      <c r="A1053">
        <v>-3224.7939510635333</v>
      </c>
      <c r="B1053">
        <v>-6006.2430805055774</v>
      </c>
    </row>
    <row r="1054" spans="1:2" x14ac:dyDescent="0.2">
      <c r="A1054">
        <v>9507.0705313335638</v>
      </c>
      <c r="B1054">
        <v>-5994.0893606802274</v>
      </c>
    </row>
    <row r="1055" spans="1:2" x14ac:dyDescent="0.2">
      <c r="A1055">
        <v>-8777.5841679214791</v>
      </c>
      <c r="B1055">
        <v>-5994.0396944706736</v>
      </c>
    </row>
    <row r="1056" spans="1:2" x14ac:dyDescent="0.2">
      <c r="A1056">
        <v>16978.533679087821</v>
      </c>
      <c r="B1056">
        <v>-5965.5360207289195</v>
      </c>
    </row>
    <row r="1057" spans="1:2" x14ac:dyDescent="0.2">
      <c r="A1057">
        <v>1236.7407675781869</v>
      </c>
      <c r="B1057">
        <v>-5953.735239363712</v>
      </c>
    </row>
    <row r="1058" spans="1:2" x14ac:dyDescent="0.2">
      <c r="A1058">
        <v>494.37377768661827</v>
      </c>
      <c r="B1058">
        <v>-5937.7418676833331</v>
      </c>
    </row>
    <row r="1059" spans="1:2" x14ac:dyDescent="0.2">
      <c r="A1059">
        <v>-1814.8461338301422</v>
      </c>
      <c r="B1059">
        <v>-5933.7082047279109</v>
      </c>
    </row>
    <row r="1060" spans="1:2" x14ac:dyDescent="0.2">
      <c r="A1060">
        <v>2750.2325738678628</v>
      </c>
      <c r="B1060">
        <v>-5927.7390680522076</v>
      </c>
    </row>
    <row r="1061" spans="1:2" x14ac:dyDescent="0.2">
      <c r="A1061">
        <v>2117.7518619571347</v>
      </c>
      <c r="B1061">
        <v>-5915.2058434117353</v>
      </c>
    </row>
    <row r="1062" spans="1:2" x14ac:dyDescent="0.2">
      <c r="A1062">
        <v>2936.4531942992471</v>
      </c>
      <c r="B1062">
        <v>-5912.1127516116248</v>
      </c>
    </row>
    <row r="1063" spans="1:2" x14ac:dyDescent="0.2">
      <c r="A1063">
        <v>2682.5012369119795</v>
      </c>
      <c r="B1063">
        <v>-5902.0988935141359</v>
      </c>
    </row>
    <row r="1064" spans="1:2" x14ac:dyDescent="0.2">
      <c r="A1064">
        <v>8543.3276025278901</v>
      </c>
      <c r="B1064">
        <v>-5896.7612646890921</v>
      </c>
    </row>
    <row r="1065" spans="1:2" x14ac:dyDescent="0.2">
      <c r="A1065">
        <v>-9962.3927684189402</v>
      </c>
      <c r="B1065">
        <v>-5891.5620667902695</v>
      </c>
    </row>
    <row r="1066" spans="1:2" x14ac:dyDescent="0.2">
      <c r="A1066">
        <v>-4229.4038355029188</v>
      </c>
      <c r="B1066">
        <v>-5875.4428161457763</v>
      </c>
    </row>
    <row r="1067" spans="1:2" x14ac:dyDescent="0.2">
      <c r="A1067">
        <v>2059.2373228036158</v>
      </c>
      <c r="B1067">
        <v>-5874.8387764015351</v>
      </c>
    </row>
    <row r="1068" spans="1:2" x14ac:dyDescent="0.2">
      <c r="A1068">
        <v>10054.203046131501</v>
      </c>
      <c r="B1068">
        <v>-5866.8773717505828</v>
      </c>
    </row>
    <row r="1069" spans="1:2" x14ac:dyDescent="0.2">
      <c r="A1069">
        <v>6963.3603931265534</v>
      </c>
      <c r="B1069">
        <v>-5859.4330096632475</v>
      </c>
    </row>
    <row r="1070" spans="1:2" x14ac:dyDescent="0.2">
      <c r="A1070">
        <v>7201.6115855109529</v>
      </c>
      <c r="B1070">
        <v>-5858.7611711316858</v>
      </c>
    </row>
    <row r="1071" spans="1:2" x14ac:dyDescent="0.2">
      <c r="A1071">
        <v>-1022.9453759069729</v>
      </c>
      <c r="B1071">
        <v>-5858.4216586477705</v>
      </c>
    </row>
    <row r="1072" spans="1:2" x14ac:dyDescent="0.2">
      <c r="A1072">
        <v>6349.8964431421191</v>
      </c>
      <c r="B1072">
        <v>-5850.5454705680895</v>
      </c>
    </row>
    <row r="1073" spans="1:2" x14ac:dyDescent="0.2">
      <c r="A1073">
        <v>638.31357318215305</v>
      </c>
      <c r="B1073">
        <v>-5846.0670968253689</v>
      </c>
    </row>
    <row r="1074" spans="1:2" x14ac:dyDescent="0.2">
      <c r="A1074">
        <v>4125.6159218571847</v>
      </c>
      <c r="B1074">
        <v>-5843.4539563563594</v>
      </c>
    </row>
    <row r="1075" spans="1:2" x14ac:dyDescent="0.2">
      <c r="A1075">
        <v>827.11146302745328</v>
      </c>
      <c r="B1075">
        <v>-5830.7370269538369</v>
      </c>
    </row>
    <row r="1076" spans="1:2" x14ac:dyDescent="0.2">
      <c r="A1076">
        <v>-30758.880915396148</v>
      </c>
      <c r="B1076">
        <v>-5829.6277345740527</v>
      </c>
    </row>
    <row r="1077" spans="1:2" x14ac:dyDescent="0.2">
      <c r="A1077">
        <v>1154.8454235416139</v>
      </c>
      <c r="B1077">
        <v>-5803.0560200248437</v>
      </c>
    </row>
    <row r="1078" spans="1:2" x14ac:dyDescent="0.2">
      <c r="A1078">
        <v>-1038.6945534904953</v>
      </c>
      <c r="B1078">
        <v>-5780.9678848689655</v>
      </c>
    </row>
    <row r="1079" spans="1:2" x14ac:dyDescent="0.2">
      <c r="A1079">
        <v>-4931.7600812824094</v>
      </c>
      <c r="B1079">
        <v>-5770.598247128306</v>
      </c>
    </row>
    <row r="1080" spans="1:2" x14ac:dyDescent="0.2">
      <c r="A1080">
        <v>10704.387207397318</v>
      </c>
      <c r="B1080">
        <v>-5760.0019934001903</v>
      </c>
    </row>
    <row r="1081" spans="1:2" x14ac:dyDescent="0.2">
      <c r="A1081">
        <v>8847.2183313629357</v>
      </c>
      <c r="B1081">
        <v>-5758.7042627339833</v>
      </c>
    </row>
    <row r="1082" spans="1:2" x14ac:dyDescent="0.2">
      <c r="A1082">
        <v>5187.5303248282289</v>
      </c>
      <c r="B1082">
        <v>-5757.9282958235999</v>
      </c>
    </row>
    <row r="1083" spans="1:2" x14ac:dyDescent="0.2">
      <c r="A1083">
        <v>10036.824959392543</v>
      </c>
      <c r="B1083">
        <v>-5738.2280148301215</v>
      </c>
    </row>
    <row r="1084" spans="1:2" x14ac:dyDescent="0.2">
      <c r="A1084">
        <v>9532.4305110053974</v>
      </c>
      <c r="B1084">
        <v>-5736.6676368852495</v>
      </c>
    </row>
    <row r="1085" spans="1:2" x14ac:dyDescent="0.2">
      <c r="A1085">
        <v>1544.2083771767793</v>
      </c>
      <c r="B1085">
        <v>-5731.8619107462582</v>
      </c>
    </row>
    <row r="1086" spans="1:2" x14ac:dyDescent="0.2">
      <c r="A1086">
        <v>4570.9884988063422</v>
      </c>
      <c r="B1086">
        <v>-5728.1375318258652</v>
      </c>
    </row>
    <row r="1087" spans="1:2" x14ac:dyDescent="0.2">
      <c r="A1087">
        <v>-7514.4327571345493</v>
      </c>
      <c r="B1087">
        <v>-5709.1120390925498</v>
      </c>
    </row>
    <row r="1088" spans="1:2" x14ac:dyDescent="0.2">
      <c r="A1088">
        <v>-18927.518671709811</v>
      </c>
      <c r="B1088">
        <v>-5705.3423230233893</v>
      </c>
    </row>
    <row r="1089" spans="1:2" x14ac:dyDescent="0.2">
      <c r="A1089">
        <v>-3263.3654351473378</v>
      </c>
      <c r="B1089">
        <v>-5691.8958928287902</v>
      </c>
    </row>
    <row r="1090" spans="1:2" x14ac:dyDescent="0.2">
      <c r="A1090">
        <v>-2724.271591393539</v>
      </c>
      <c r="B1090">
        <v>-5689.2380734357284</v>
      </c>
    </row>
    <row r="1091" spans="1:2" x14ac:dyDescent="0.2">
      <c r="A1091">
        <v>9462.6990131175844</v>
      </c>
      <c r="B1091">
        <v>-5688.6730482736602</v>
      </c>
    </row>
    <row r="1092" spans="1:2" x14ac:dyDescent="0.2">
      <c r="A1092">
        <v>5163.1747600443196</v>
      </c>
      <c r="B1092">
        <v>-5688.2290664582979</v>
      </c>
    </row>
    <row r="1093" spans="1:2" x14ac:dyDescent="0.2">
      <c r="A1093">
        <v>1057.4508037551423</v>
      </c>
      <c r="B1093">
        <v>-5681.8710163651267</v>
      </c>
    </row>
    <row r="1094" spans="1:2" x14ac:dyDescent="0.2">
      <c r="A1094">
        <v>13425.448508549307</v>
      </c>
      <c r="B1094">
        <v>-5675.3330373113276</v>
      </c>
    </row>
    <row r="1095" spans="1:2" x14ac:dyDescent="0.2">
      <c r="A1095">
        <v>22.714887518261094</v>
      </c>
      <c r="B1095">
        <v>-5664.181567408843</v>
      </c>
    </row>
    <row r="1096" spans="1:2" x14ac:dyDescent="0.2">
      <c r="A1096">
        <v>7289.9220880484791</v>
      </c>
      <c r="B1096">
        <v>-5662.6609087103861</v>
      </c>
    </row>
    <row r="1097" spans="1:2" x14ac:dyDescent="0.2">
      <c r="A1097">
        <v>-3284.0633328368422</v>
      </c>
      <c r="B1097">
        <v>-5652.3569917415734</v>
      </c>
    </row>
    <row r="1098" spans="1:2" x14ac:dyDescent="0.2">
      <c r="A1098">
        <v>-1428.3609454502875</v>
      </c>
      <c r="B1098">
        <v>-5650.005926225509</v>
      </c>
    </row>
    <row r="1099" spans="1:2" x14ac:dyDescent="0.2">
      <c r="A1099">
        <v>5577.5036050065537</v>
      </c>
      <c r="B1099">
        <v>-5644.6369524775946</v>
      </c>
    </row>
    <row r="1100" spans="1:2" x14ac:dyDescent="0.2">
      <c r="A1100">
        <v>4788.9310560347949</v>
      </c>
      <c r="B1100">
        <v>-5620.6768915191351</v>
      </c>
    </row>
    <row r="1101" spans="1:2" x14ac:dyDescent="0.2">
      <c r="A1101">
        <v>5061.7739945409849</v>
      </c>
      <c r="B1101">
        <v>-5620.3930514010426</v>
      </c>
    </row>
    <row r="1102" spans="1:2" x14ac:dyDescent="0.2">
      <c r="A1102">
        <v>7505.8634261876578</v>
      </c>
      <c r="B1102">
        <v>-5620.3408798431046</v>
      </c>
    </row>
    <row r="1103" spans="1:2" x14ac:dyDescent="0.2">
      <c r="A1103">
        <v>520.3954687663645</v>
      </c>
      <c r="B1103">
        <v>-5614.5921986018366</v>
      </c>
    </row>
    <row r="1104" spans="1:2" x14ac:dyDescent="0.2">
      <c r="A1104">
        <v>-1650.369516053237</v>
      </c>
      <c r="B1104">
        <v>-5612.3786166138016</v>
      </c>
    </row>
    <row r="1105" spans="1:2" x14ac:dyDescent="0.2">
      <c r="A1105">
        <v>10939.163258226094</v>
      </c>
      <c r="B1105">
        <v>-5608.4450653826352</v>
      </c>
    </row>
    <row r="1106" spans="1:2" x14ac:dyDescent="0.2">
      <c r="A1106">
        <v>-2.6112492707325146</v>
      </c>
      <c r="B1106">
        <v>-5595.8195222732029</v>
      </c>
    </row>
    <row r="1107" spans="1:2" x14ac:dyDescent="0.2">
      <c r="A1107">
        <v>-16658.201604505593</v>
      </c>
      <c r="B1107">
        <v>-5589.513489676232</v>
      </c>
    </row>
    <row r="1108" spans="1:2" x14ac:dyDescent="0.2">
      <c r="A1108">
        <v>-11316.412014168338</v>
      </c>
      <c r="B1108">
        <v>-5584.6488507873146</v>
      </c>
    </row>
    <row r="1109" spans="1:2" x14ac:dyDescent="0.2">
      <c r="A1109">
        <v>-14226.556842308666</v>
      </c>
      <c r="B1109">
        <v>-5558.1603887352394</v>
      </c>
    </row>
    <row r="1110" spans="1:2" x14ac:dyDescent="0.2">
      <c r="A1110">
        <v>-5912.1127516116248</v>
      </c>
      <c r="B1110">
        <v>-5555.5028434522683</v>
      </c>
    </row>
    <row r="1111" spans="1:2" x14ac:dyDescent="0.2">
      <c r="A1111">
        <v>8295.7419007031422</v>
      </c>
      <c r="B1111">
        <v>-5554.0434864796116</v>
      </c>
    </row>
    <row r="1112" spans="1:2" x14ac:dyDescent="0.2">
      <c r="A1112">
        <v>6751.2735942609725</v>
      </c>
      <c r="B1112">
        <v>-5550.4811853581923</v>
      </c>
    </row>
    <row r="1113" spans="1:2" x14ac:dyDescent="0.2">
      <c r="A1113">
        <v>10996.437745633535</v>
      </c>
      <c r="B1113">
        <v>-5547.1305848128395</v>
      </c>
    </row>
    <row r="1114" spans="1:2" x14ac:dyDescent="0.2">
      <c r="A1114">
        <v>-4498.443910737813</v>
      </c>
      <c r="B1114">
        <v>-5540.2951376766432</v>
      </c>
    </row>
    <row r="1115" spans="1:2" x14ac:dyDescent="0.2">
      <c r="A1115">
        <v>-30664.648657640093</v>
      </c>
      <c r="B1115">
        <v>-5523.4677938407985</v>
      </c>
    </row>
    <row r="1116" spans="1:2" x14ac:dyDescent="0.2">
      <c r="A1116">
        <v>5614.4849294972373</v>
      </c>
      <c r="B1116">
        <v>-5515.2322930132505</v>
      </c>
    </row>
    <row r="1117" spans="1:2" x14ac:dyDescent="0.2">
      <c r="A1117">
        <v>10498.257507355767</v>
      </c>
      <c r="B1117">
        <v>-5507.1619200767309</v>
      </c>
    </row>
    <row r="1118" spans="1:2" x14ac:dyDescent="0.2">
      <c r="A1118">
        <v>7290.0735374997021</v>
      </c>
      <c r="B1118">
        <v>-5505.4162429191347</v>
      </c>
    </row>
    <row r="1119" spans="1:2" x14ac:dyDescent="0.2">
      <c r="A1119">
        <v>2161.4835334685631</v>
      </c>
      <c r="B1119">
        <v>-5503.1546627509233</v>
      </c>
    </row>
    <row r="1120" spans="1:2" x14ac:dyDescent="0.2">
      <c r="A1120">
        <v>6836.3388568911469</v>
      </c>
      <c r="B1120">
        <v>-5500.7944693702157</v>
      </c>
    </row>
    <row r="1121" spans="1:2" x14ac:dyDescent="0.2">
      <c r="A1121">
        <v>12992.261077096773</v>
      </c>
      <c r="B1121">
        <v>-5498.8277993845986</v>
      </c>
    </row>
    <row r="1122" spans="1:2" x14ac:dyDescent="0.2">
      <c r="A1122">
        <v>-4602.4041004496976</v>
      </c>
      <c r="B1122">
        <v>-5489.7202912954963</v>
      </c>
    </row>
    <row r="1123" spans="1:2" x14ac:dyDescent="0.2">
      <c r="A1123">
        <v>4006.641458376369</v>
      </c>
      <c r="B1123">
        <v>-5474.2843145401566</v>
      </c>
    </row>
    <row r="1124" spans="1:2" x14ac:dyDescent="0.2">
      <c r="A1124">
        <v>7102.8977527609677</v>
      </c>
      <c r="B1124">
        <v>-5470.4873037869402</v>
      </c>
    </row>
    <row r="1125" spans="1:2" x14ac:dyDescent="0.2">
      <c r="A1125">
        <v>4562.6020777837257</v>
      </c>
      <c r="B1125">
        <v>-5470.4168607378961</v>
      </c>
    </row>
    <row r="1126" spans="1:2" x14ac:dyDescent="0.2">
      <c r="A1126">
        <v>1777.9290924876695</v>
      </c>
      <c r="B1126">
        <v>-5453.5464666635962</v>
      </c>
    </row>
    <row r="1127" spans="1:2" x14ac:dyDescent="0.2">
      <c r="A1127">
        <v>12583.426848687872</v>
      </c>
      <c r="B1127">
        <v>-5434.7140022534877</v>
      </c>
    </row>
    <row r="1128" spans="1:2" x14ac:dyDescent="0.2">
      <c r="A1128">
        <v>823.08693962468533</v>
      </c>
      <c r="B1128">
        <v>-5401.7355433408229</v>
      </c>
    </row>
    <row r="1129" spans="1:2" x14ac:dyDescent="0.2">
      <c r="A1129">
        <v>6218.7995839968207</v>
      </c>
      <c r="B1129">
        <v>-5401.4170020581223</v>
      </c>
    </row>
    <row r="1130" spans="1:2" x14ac:dyDescent="0.2">
      <c r="A1130">
        <v>7126.8817420960404</v>
      </c>
      <c r="B1130">
        <v>-5397.7567162437481</v>
      </c>
    </row>
    <row r="1131" spans="1:2" x14ac:dyDescent="0.2">
      <c r="A1131">
        <v>-2911.2706881490012</v>
      </c>
      <c r="B1131">
        <v>-5379.2908543602389</v>
      </c>
    </row>
    <row r="1132" spans="1:2" x14ac:dyDescent="0.2">
      <c r="A1132">
        <v>-9658.1417118897079</v>
      </c>
      <c r="B1132">
        <v>-5370.5752566559531</v>
      </c>
    </row>
    <row r="1133" spans="1:2" x14ac:dyDescent="0.2">
      <c r="A1133">
        <v>-3737.9800626738579</v>
      </c>
      <c r="B1133">
        <v>-5352.3845949005627</v>
      </c>
    </row>
    <row r="1134" spans="1:2" x14ac:dyDescent="0.2">
      <c r="A1134">
        <v>11594.236921341275</v>
      </c>
      <c r="B1134">
        <v>-5345.8777557373396</v>
      </c>
    </row>
    <row r="1135" spans="1:2" x14ac:dyDescent="0.2">
      <c r="A1135">
        <v>-3015.9509438772511</v>
      </c>
      <c r="B1135">
        <v>-5344.0532642695471</v>
      </c>
    </row>
    <row r="1136" spans="1:2" x14ac:dyDescent="0.2">
      <c r="A1136">
        <v>14702.1076827863</v>
      </c>
      <c r="B1136">
        <v>-5340.7466729836306</v>
      </c>
    </row>
    <row r="1137" spans="1:2" x14ac:dyDescent="0.2">
      <c r="A1137">
        <v>2867.8272363630822</v>
      </c>
      <c r="B1137">
        <v>-5340.3920550987823</v>
      </c>
    </row>
    <row r="1138" spans="1:2" x14ac:dyDescent="0.2">
      <c r="A1138">
        <v>6372.3348250160634</v>
      </c>
      <c r="B1138">
        <v>-5334.0925865850004</v>
      </c>
    </row>
    <row r="1139" spans="1:2" x14ac:dyDescent="0.2">
      <c r="A1139">
        <v>-1532.4983160256816</v>
      </c>
      <c r="B1139">
        <v>-5327.7397247457993</v>
      </c>
    </row>
    <row r="1140" spans="1:2" x14ac:dyDescent="0.2">
      <c r="A1140">
        <v>-3139.0550082739792</v>
      </c>
      <c r="B1140">
        <v>-5324.676590299001</v>
      </c>
    </row>
    <row r="1141" spans="1:2" x14ac:dyDescent="0.2">
      <c r="A1141">
        <v>-12721.385222788347</v>
      </c>
      <c r="B1141">
        <v>-5313.0583562894608</v>
      </c>
    </row>
    <row r="1142" spans="1:2" x14ac:dyDescent="0.2">
      <c r="A1142">
        <v>-10349.592553550698</v>
      </c>
      <c r="B1142">
        <v>-5298.8783932937949</v>
      </c>
    </row>
    <row r="1143" spans="1:2" x14ac:dyDescent="0.2">
      <c r="A1143">
        <v>-40.874438023834955</v>
      </c>
      <c r="B1143">
        <v>-5297.9070225192118</v>
      </c>
    </row>
    <row r="1144" spans="1:2" x14ac:dyDescent="0.2">
      <c r="A1144">
        <v>2273.0763996982132</v>
      </c>
      <c r="B1144">
        <v>-5279.2349425987923</v>
      </c>
    </row>
    <row r="1145" spans="1:2" x14ac:dyDescent="0.2">
      <c r="A1145">
        <v>-533.5697148052277</v>
      </c>
      <c r="B1145">
        <v>-5277.4182409876375</v>
      </c>
    </row>
    <row r="1146" spans="1:2" x14ac:dyDescent="0.2">
      <c r="A1146">
        <v>-8617.7675433073891</v>
      </c>
      <c r="B1146">
        <v>-5260.6469797999016</v>
      </c>
    </row>
    <row r="1147" spans="1:2" x14ac:dyDescent="0.2">
      <c r="A1147">
        <v>1775.230035289831</v>
      </c>
      <c r="B1147">
        <v>-5259.6436427847366</v>
      </c>
    </row>
    <row r="1148" spans="1:2" x14ac:dyDescent="0.2">
      <c r="A1148">
        <v>1416.2590738057042</v>
      </c>
      <c r="B1148">
        <v>-5247.4862388561596</v>
      </c>
    </row>
    <row r="1149" spans="1:2" x14ac:dyDescent="0.2">
      <c r="A1149">
        <v>-7003.3248531701392</v>
      </c>
      <c r="B1149">
        <v>-5236.4282617972931</v>
      </c>
    </row>
    <row r="1150" spans="1:2" x14ac:dyDescent="0.2">
      <c r="A1150">
        <v>5489.944437061029</v>
      </c>
      <c r="B1150">
        <v>-5233.0443971028144</v>
      </c>
    </row>
    <row r="1151" spans="1:2" x14ac:dyDescent="0.2">
      <c r="A1151">
        <v>8798.942629891797</v>
      </c>
      <c r="B1151">
        <v>-5232.3425211264985</v>
      </c>
    </row>
    <row r="1152" spans="1:2" x14ac:dyDescent="0.2">
      <c r="A1152">
        <v>-5927.7390680522076</v>
      </c>
      <c r="B1152">
        <v>-5223.9048732666852</v>
      </c>
    </row>
    <row r="1153" spans="1:2" x14ac:dyDescent="0.2">
      <c r="A1153">
        <v>-11775.450854222145</v>
      </c>
      <c r="B1153">
        <v>-5202.6002100337064</v>
      </c>
    </row>
    <row r="1154" spans="1:2" x14ac:dyDescent="0.2">
      <c r="A1154">
        <v>1293.5149948660983</v>
      </c>
      <c r="B1154">
        <v>-5199.3402906205156</v>
      </c>
    </row>
    <row r="1155" spans="1:2" x14ac:dyDescent="0.2">
      <c r="A1155">
        <v>9111.2598724311683</v>
      </c>
      <c r="B1155">
        <v>-5195.3322352386022</v>
      </c>
    </row>
    <row r="1156" spans="1:2" x14ac:dyDescent="0.2">
      <c r="A1156">
        <v>-14289.802527886874</v>
      </c>
      <c r="B1156">
        <v>-5152.6364676691301</v>
      </c>
    </row>
    <row r="1157" spans="1:2" x14ac:dyDescent="0.2">
      <c r="A1157">
        <v>-7105.4961572880275</v>
      </c>
      <c r="B1157">
        <v>-5147.4089294160949</v>
      </c>
    </row>
    <row r="1158" spans="1:2" x14ac:dyDescent="0.2">
      <c r="A1158">
        <v>1848.4478003738914</v>
      </c>
      <c r="B1158">
        <v>-5145.9793333300622</v>
      </c>
    </row>
    <row r="1159" spans="1:2" x14ac:dyDescent="0.2">
      <c r="A1159">
        <v>8262.8934942032793</v>
      </c>
      <c r="B1159">
        <v>-5139.5095487076906</v>
      </c>
    </row>
    <row r="1160" spans="1:2" x14ac:dyDescent="0.2">
      <c r="A1160">
        <v>-1882.359984419425</v>
      </c>
      <c r="B1160">
        <v>-5130.9356830047909</v>
      </c>
    </row>
    <row r="1161" spans="1:2" x14ac:dyDescent="0.2">
      <c r="A1161">
        <v>-5029.1098639256961</v>
      </c>
      <c r="B1161">
        <v>-5119.4454527172202</v>
      </c>
    </row>
    <row r="1162" spans="1:2" x14ac:dyDescent="0.2">
      <c r="A1162">
        <v>19240.008609190991</v>
      </c>
      <c r="B1162">
        <v>-5102.7975776979583</v>
      </c>
    </row>
    <row r="1163" spans="1:2" x14ac:dyDescent="0.2">
      <c r="A1163">
        <v>13940.530784382892</v>
      </c>
      <c r="B1163">
        <v>-5087.3714103713282</v>
      </c>
    </row>
    <row r="1164" spans="1:2" x14ac:dyDescent="0.2">
      <c r="A1164">
        <v>-11311.10039524606</v>
      </c>
      <c r="B1164">
        <v>-5078.7354312968091</v>
      </c>
    </row>
    <row r="1165" spans="1:2" x14ac:dyDescent="0.2">
      <c r="A1165">
        <v>8725.14904665621</v>
      </c>
      <c r="B1165">
        <v>-5074.5859679035493</v>
      </c>
    </row>
    <row r="1166" spans="1:2" x14ac:dyDescent="0.2">
      <c r="A1166">
        <v>17820.217102262948</v>
      </c>
      <c r="B1166">
        <v>-5064.3645100814465</v>
      </c>
    </row>
    <row r="1167" spans="1:2" x14ac:dyDescent="0.2">
      <c r="A1167">
        <v>6867.2897037199</v>
      </c>
      <c r="B1167">
        <v>-5062.2035376094864</v>
      </c>
    </row>
    <row r="1168" spans="1:2" x14ac:dyDescent="0.2">
      <c r="A1168">
        <v>15515.534358095785</v>
      </c>
      <c r="B1168">
        <v>-5045.7470738854026</v>
      </c>
    </row>
    <row r="1169" spans="1:2" x14ac:dyDescent="0.2">
      <c r="A1169">
        <v>-6480.6529491609544</v>
      </c>
      <c r="B1169">
        <v>-5044.0408214013733</v>
      </c>
    </row>
    <row r="1170" spans="1:2" x14ac:dyDescent="0.2">
      <c r="A1170">
        <v>-5130.9356830047909</v>
      </c>
      <c r="B1170">
        <v>-5043.4111313096364</v>
      </c>
    </row>
    <row r="1171" spans="1:2" x14ac:dyDescent="0.2">
      <c r="A1171">
        <v>-17435.336493660812</v>
      </c>
      <c r="B1171">
        <v>-5041.3698364159209</v>
      </c>
    </row>
    <row r="1172" spans="1:2" x14ac:dyDescent="0.2">
      <c r="A1172">
        <v>-1643.4013582281186</v>
      </c>
      <c r="B1172">
        <v>-5036.9609732259996</v>
      </c>
    </row>
    <row r="1173" spans="1:2" x14ac:dyDescent="0.2">
      <c r="A1173">
        <v>-6865.940369058575</v>
      </c>
      <c r="B1173">
        <v>-5029.1098639256961</v>
      </c>
    </row>
    <row r="1174" spans="1:2" x14ac:dyDescent="0.2">
      <c r="A1174">
        <v>1809.5548331189784</v>
      </c>
      <c r="B1174">
        <v>-5010.5112836583867</v>
      </c>
    </row>
    <row r="1175" spans="1:2" x14ac:dyDescent="0.2">
      <c r="A1175">
        <v>7759.7104034501244</v>
      </c>
      <c r="B1175">
        <v>-5000.9849133388198</v>
      </c>
    </row>
    <row r="1176" spans="1:2" x14ac:dyDescent="0.2">
      <c r="A1176">
        <v>-1212.5707835814683</v>
      </c>
      <c r="B1176">
        <v>-4999.5565613985236</v>
      </c>
    </row>
    <row r="1177" spans="1:2" x14ac:dyDescent="0.2">
      <c r="A1177">
        <v>-2615.8535750505689</v>
      </c>
      <c r="B1177">
        <v>-4999.1962601292762</v>
      </c>
    </row>
    <row r="1178" spans="1:2" x14ac:dyDescent="0.2">
      <c r="A1178">
        <v>392.42444660273031</v>
      </c>
      <c r="B1178">
        <v>-4992.4539203324821</v>
      </c>
    </row>
    <row r="1179" spans="1:2" x14ac:dyDescent="0.2">
      <c r="A1179">
        <v>3815.8519674751151</v>
      </c>
      <c r="B1179">
        <v>-4983.3479899757658</v>
      </c>
    </row>
    <row r="1180" spans="1:2" x14ac:dyDescent="0.2">
      <c r="A1180">
        <v>-5803.0560200248437</v>
      </c>
      <c r="B1180">
        <v>-4979.1375173566048</v>
      </c>
    </row>
    <row r="1181" spans="1:2" x14ac:dyDescent="0.2">
      <c r="A1181">
        <v>10897.505991499696</v>
      </c>
      <c r="B1181">
        <v>-4964.4691957352334</v>
      </c>
    </row>
    <row r="1182" spans="1:2" x14ac:dyDescent="0.2">
      <c r="A1182">
        <v>-8616.5455344507936</v>
      </c>
      <c r="B1182">
        <v>-4962.4780788635398</v>
      </c>
    </row>
    <row r="1183" spans="1:2" x14ac:dyDescent="0.2">
      <c r="A1183">
        <v>-4554.1574934124947</v>
      </c>
      <c r="B1183">
        <v>-4943.3780745427939</v>
      </c>
    </row>
    <row r="1184" spans="1:2" x14ac:dyDescent="0.2">
      <c r="A1184">
        <v>6827.8285721396242</v>
      </c>
      <c r="B1184">
        <v>-4941.712532585836</v>
      </c>
    </row>
    <row r="1185" spans="1:2" x14ac:dyDescent="0.2">
      <c r="A1185">
        <v>-10329.174610464484</v>
      </c>
      <c r="B1185">
        <v>-4939.4112850067904</v>
      </c>
    </row>
    <row r="1186" spans="1:2" x14ac:dyDescent="0.2">
      <c r="A1186">
        <v>7805.8821855139104</v>
      </c>
      <c r="B1186">
        <v>-4938.3147369806247</v>
      </c>
    </row>
    <row r="1187" spans="1:2" x14ac:dyDescent="0.2">
      <c r="A1187">
        <v>8218.409393350099</v>
      </c>
      <c r="B1187">
        <v>-4931.7600812824094</v>
      </c>
    </row>
    <row r="1188" spans="1:2" x14ac:dyDescent="0.2">
      <c r="A1188">
        <v>-1521.744615466625</v>
      </c>
      <c r="B1188">
        <v>-4908.2359445186448</v>
      </c>
    </row>
    <row r="1189" spans="1:2" x14ac:dyDescent="0.2">
      <c r="A1189">
        <v>-20451.710797064938</v>
      </c>
      <c r="B1189">
        <v>-4906.0585816584062</v>
      </c>
    </row>
    <row r="1190" spans="1:2" x14ac:dyDescent="0.2">
      <c r="A1190">
        <v>-4391.1126695625426</v>
      </c>
      <c r="B1190">
        <v>-4898.580018775363</v>
      </c>
    </row>
    <row r="1191" spans="1:2" x14ac:dyDescent="0.2">
      <c r="A1191">
        <v>8019.2294094105455</v>
      </c>
      <c r="B1191">
        <v>-4895.5433723055467</v>
      </c>
    </row>
    <row r="1192" spans="1:2" x14ac:dyDescent="0.2">
      <c r="A1192">
        <v>-10273.270974619023</v>
      </c>
      <c r="B1192">
        <v>-4856.3371472627623</v>
      </c>
    </row>
    <row r="1193" spans="1:2" x14ac:dyDescent="0.2">
      <c r="A1193">
        <v>3325.3383795388218</v>
      </c>
      <c r="B1193">
        <v>-4825.1111667942605</v>
      </c>
    </row>
    <row r="1194" spans="1:2" x14ac:dyDescent="0.2">
      <c r="A1194">
        <v>7456.5617184003349</v>
      </c>
      <c r="B1194">
        <v>-4820.1212980681448</v>
      </c>
    </row>
    <row r="1195" spans="1:2" x14ac:dyDescent="0.2">
      <c r="A1195">
        <v>-6825.787140944507</v>
      </c>
      <c r="B1195">
        <v>-4817.4695218239794</v>
      </c>
    </row>
    <row r="1196" spans="1:2" x14ac:dyDescent="0.2">
      <c r="A1196">
        <v>14731.254284582392</v>
      </c>
      <c r="B1196">
        <v>-4803.4654079945176</v>
      </c>
    </row>
    <row r="1197" spans="1:2" x14ac:dyDescent="0.2">
      <c r="A1197">
        <v>-2898.51206788735</v>
      </c>
      <c r="B1197">
        <v>-4799.8118226929219</v>
      </c>
    </row>
    <row r="1198" spans="1:2" x14ac:dyDescent="0.2">
      <c r="A1198">
        <v>4935.7099168955319</v>
      </c>
      <c r="B1198">
        <v>-4788.8020426451112</v>
      </c>
    </row>
    <row r="1199" spans="1:2" x14ac:dyDescent="0.2">
      <c r="A1199">
        <v>-10.080080950152478</v>
      </c>
      <c r="B1199">
        <v>-4785.7226580634015</v>
      </c>
    </row>
    <row r="1200" spans="1:2" x14ac:dyDescent="0.2">
      <c r="A1200">
        <v>3292.6423559828545</v>
      </c>
      <c r="B1200">
        <v>-4767.4766785289685</v>
      </c>
    </row>
    <row r="1201" spans="1:2" x14ac:dyDescent="0.2">
      <c r="A1201">
        <v>15052.329219030566</v>
      </c>
      <c r="B1201">
        <v>-4761.543100373412</v>
      </c>
    </row>
    <row r="1202" spans="1:2" x14ac:dyDescent="0.2">
      <c r="A1202">
        <v>11939.559685292101</v>
      </c>
      <c r="B1202">
        <v>-4743.136028445675</v>
      </c>
    </row>
    <row r="1203" spans="1:2" x14ac:dyDescent="0.2">
      <c r="A1203">
        <v>9049.4956129697384</v>
      </c>
      <c r="B1203">
        <v>-4730.1017886921763</v>
      </c>
    </row>
    <row r="1204" spans="1:2" x14ac:dyDescent="0.2">
      <c r="A1204">
        <v>12079.852275329555</v>
      </c>
      <c r="B1204">
        <v>-4728.9370486186817</v>
      </c>
    </row>
    <row r="1205" spans="1:2" x14ac:dyDescent="0.2">
      <c r="A1205">
        <v>3445.4436980967585</v>
      </c>
      <c r="B1205">
        <v>-4723.0964701808407</v>
      </c>
    </row>
    <row r="1206" spans="1:2" x14ac:dyDescent="0.2">
      <c r="A1206">
        <v>8281.4995956489001</v>
      </c>
      <c r="B1206">
        <v>-4720.9250845823844</v>
      </c>
    </row>
    <row r="1207" spans="1:2" x14ac:dyDescent="0.2">
      <c r="A1207">
        <v>15747.741154888441</v>
      </c>
      <c r="B1207">
        <v>-4717.4517417144089</v>
      </c>
    </row>
    <row r="1208" spans="1:2" x14ac:dyDescent="0.2">
      <c r="A1208">
        <v>7507.7581339366152</v>
      </c>
      <c r="B1208">
        <v>-4702.4120703976369</v>
      </c>
    </row>
    <row r="1209" spans="1:2" x14ac:dyDescent="0.2">
      <c r="A1209">
        <v>12088.678542234295</v>
      </c>
      <c r="B1209">
        <v>-4692.8482363540097</v>
      </c>
    </row>
    <row r="1210" spans="1:2" x14ac:dyDescent="0.2">
      <c r="A1210">
        <v>19776.282566178532</v>
      </c>
      <c r="B1210">
        <v>-4689.21612939646</v>
      </c>
    </row>
    <row r="1211" spans="1:2" x14ac:dyDescent="0.2">
      <c r="A1211">
        <v>-5199.3402906205156</v>
      </c>
      <c r="B1211">
        <v>-4687.5587269985117</v>
      </c>
    </row>
    <row r="1212" spans="1:2" x14ac:dyDescent="0.2">
      <c r="A1212">
        <v>616.1077055108035</v>
      </c>
      <c r="B1212">
        <v>-4684.476680920925</v>
      </c>
    </row>
    <row r="1213" spans="1:2" x14ac:dyDescent="0.2">
      <c r="A1213">
        <v>3270.9076167969033</v>
      </c>
      <c r="B1213">
        <v>-4681.2392089688219</v>
      </c>
    </row>
    <row r="1214" spans="1:2" x14ac:dyDescent="0.2">
      <c r="A1214">
        <v>8870.4689227745112</v>
      </c>
      <c r="B1214">
        <v>-4674.6358738162089</v>
      </c>
    </row>
    <row r="1215" spans="1:2" x14ac:dyDescent="0.2">
      <c r="A1215">
        <v>1155.9807619469357</v>
      </c>
      <c r="B1215">
        <v>-4669.2708284233813</v>
      </c>
    </row>
    <row r="1216" spans="1:2" x14ac:dyDescent="0.2">
      <c r="A1216">
        <v>-12128.749034181645</v>
      </c>
      <c r="B1216">
        <v>-4665.2946641556046</v>
      </c>
    </row>
    <row r="1217" spans="1:2" x14ac:dyDescent="0.2">
      <c r="A1217">
        <v>14556.557237844769</v>
      </c>
      <c r="B1217">
        <v>-4660.0376001967234</v>
      </c>
    </row>
    <row r="1218" spans="1:2" x14ac:dyDescent="0.2">
      <c r="A1218">
        <v>-5195.3322352386022</v>
      </c>
      <c r="B1218">
        <v>-4632.68196323968</v>
      </c>
    </row>
    <row r="1219" spans="1:2" x14ac:dyDescent="0.2">
      <c r="A1219">
        <v>-2457.9747114412021</v>
      </c>
      <c r="B1219">
        <v>-4630.6028326805099</v>
      </c>
    </row>
    <row r="1220" spans="1:2" x14ac:dyDescent="0.2">
      <c r="A1220">
        <v>-4687.5587269985117</v>
      </c>
      <c r="B1220">
        <v>-4624.2891261640762</v>
      </c>
    </row>
    <row r="1221" spans="1:2" x14ac:dyDescent="0.2">
      <c r="A1221">
        <v>-12591.317553904722</v>
      </c>
      <c r="B1221">
        <v>-4618.6770318737254</v>
      </c>
    </row>
    <row r="1222" spans="1:2" x14ac:dyDescent="0.2">
      <c r="A1222">
        <v>-3425.3335064370185</v>
      </c>
      <c r="B1222">
        <v>-4616.8407742765557</v>
      </c>
    </row>
    <row r="1223" spans="1:2" x14ac:dyDescent="0.2">
      <c r="A1223">
        <v>-2313.3044450433808</v>
      </c>
      <c r="B1223">
        <v>-4616.3752195859852</v>
      </c>
    </row>
    <row r="1224" spans="1:2" x14ac:dyDescent="0.2">
      <c r="A1224">
        <v>11287.67184349196</v>
      </c>
      <c r="B1224">
        <v>-4612.2278768468532</v>
      </c>
    </row>
    <row r="1225" spans="1:2" x14ac:dyDescent="0.2">
      <c r="A1225">
        <v>10811.222156036587</v>
      </c>
      <c r="B1225">
        <v>-4602.4041004496976</v>
      </c>
    </row>
    <row r="1226" spans="1:2" x14ac:dyDescent="0.2">
      <c r="A1226">
        <v>-3195.8453424563049</v>
      </c>
      <c r="B1226">
        <v>-4599.0185591572081</v>
      </c>
    </row>
    <row r="1227" spans="1:2" x14ac:dyDescent="0.2">
      <c r="A1227">
        <v>10841.451340894942</v>
      </c>
      <c r="B1227">
        <v>-4598.8498200530303</v>
      </c>
    </row>
    <row r="1228" spans="1:2" x14ac:dyDescent="0.2">
      <c r="A1228">
        <v>9628.659757750167</v>
      </c>
      <c r="B1228">
        <v>-4595.1355552495806</v>
      </c>
    </row>
    <row r="1229" spans="1:2" x14ac:dyDescent="0.2">
      <c r="A1229">
        <v>-59.848838601959869</v>
      </c>
      <c r="B1229">
        <v>-4566.1756493825815</v>
      </c>
    </row>
    <row r="1230" spans="1:2" x14ac:dyDescent="0.2">
      <c r="A1230">
        <v>-27656.086524434679</v>
      </c>
      <c r="B1230">
        <v>-4565.9040353854652</v>
      </c>
    </row>
    <row r="1231" spans="1:2" x14ac:dyDescent="0.2">
      <c r="A1231">
        <v>-14471.269535710133</v>
      </c>
      <c r="B1231">
        <v>-4563.3872783501865</v>
      </c>
    </row>
    <row r="1232" spans="1:2" x14ac:dyDescent="0.2">
      <c r="A1232">
        <v>-24816.352901079459</v>
      </c>
      <c r="B1232">
        <v>-4562.803298219922</v>
      </c>
    </row>
    <row r="1233" spans="1:2" x14ac:dyDescent="0.2">
      <c r="A1233">
        <v>-9939.5881684265041</v>
      </c>
      <c r="B1233">
        <v>-4555.543284778425</v>
      </c>
    </row>
    <row r="1234" spans="1:2" x14ac:dyDescent="0.2">
      <c r="A1234">
        <v>17629.686611085082</v>
      </c>
      <c r="B1234">
        <v>-4554.1574934124947</v>
      </c>
    </row>
    <row r="1235" spans="1:2" x14ac:dyDescent="0.2">
      <c r="A1235">
        <v>6674.1674638651602</v>
      </c>
      <c r="B1235">
        <v>-4550.7531666108989</v>
      </c>
    </row>
    <row r="1236" spans="1:2" x14ac:dyDescent="0.2">
      <c r="A1236">
        <v>-4681.2392089688219</v>
      </c>
      <c r="B1236">
        <v>-4541.1648965609202</v>
      </c>
    </row>
    <row r="1237" spans="1:2" x14ac:dyDescent="0.2">
      <c r="A1237">
        <v>3353.4150019411172</v>
      </c>
      <c r="B1237">
        <v>-4520.6155226432602</v>
      </c>
    </row>
    <row r="1238" spans="1:2" x14ac:dyDescent="0.2">
      <c r="A1238">
        <v>1147.6352940960205</v>
      </c>
      <c r="B1238">
        <v>-4498.443910737813</v>
      </c>
    </row>
    <row r="1239" spans="1:2" x14ac:dyDescent="0.2">
      <c r="A1239">
        <v>3340.9790862301597</v>
      </c>
      <c r="B1239">
        <v>-4494.7633513648179</v>
      </c>
    </row>
    <row r="1240" spans="1:2" x14ac:dyDescent="0.2">
      <c r="A1240">
        <v>9551.7427931820857</v>
      </c>
      <c r="B1240">
        <v>-4490.3053031326854</v>
      </c>
    </row>
    <row r="1241" spans="1:2" x14ac:dyDescent="0.2">
      <c r="A1241">
        <v>15369.069110463024</v>
      </c>
      <c r="B1241">
        <v>-4474.5067307354184</v>
      </c>
    </row>
    <row r="1242" spans="1:2" x14ac:dyDescent="0.2">
      <c r="A1242">
        <v>2167.299619200523</v>
      </c>
      <c r="B1242">
        <v>-4474.4907325945969</v>
      </c>
    </row>
    <row r="1243" spans="1:2" x14ac:dyDescent="0.2">
      <c r="A1243">
        <v>8158.558737245563</v>
      </c>
      <c r="B1243">
        <v>-4471.5079004329164</v>
      </c>
    </row>
    <row r="1244" spans="1:2" x14ac:dyDescent="0.2">
      <c r="A1244">
        <v>24934.976640608162</v>
      </c>
      <c r="B1244">
        <v>-4464.3015856112761</v>
      </c>
    </row>
    <row r="1245" spans="1:2" x14ac:dyDescent="0.2">
      <c r="A1245">
        <v>23850.201771227294</v>
      </c>
      <c r="B1245">
        <v>-4423.4341305227426</v>
      </c>
    </row>
    <row r="1246" spans="1:2" x14ac:dyDescent="0.2">
      <c r="A1246">
        <v>10256.568350309622</v>
      </c>
      <c r="B1246">
        <v>-4411.3935316583666</v>
      </c>
    </row>
    <row r="1247" spans="1:2" x14ac:dyDescent="0.2">
      <c r="A1247">
        <v>-9881.8467212837422</v>
      </c>
      <c r="B1247">
        <v>-4406.4103079902125</v>
      </c>
    </row>
    <row r="1248" spans="1:2" x14ac:dyDescent="0.2">
      <c r="A1248">
        <v>-2568.63003060763</v>
      </c>
      <c r="B1248">
        <v>-4402.5276514535653</v>
      </c>
    </row>
    <row r="1249" spans="1:2" x14ac:dyDescent="0.2">
      <c r="A1249">
        <v>11571.621615686861</v>
      </c>
      <c r="B1249">
        <v>-4400.9777427481022</v>
      </c>
    </row>
    <row r="1250" spans="1:2" x14ac:dyDescent="0.2">
      <c r="A1250">
        <v>-5614.5921986018366</v>
      </c>
      <c r="B1250">
        <v>-4400.6064405181096</v>
      </c>
    </row>
    <row r="1251" spans="1:2" x14ac:dyDescent="0.2">
      <c r="A1251">
        <v>-15478.211339902424</v>
      </c>
      <c r="B1251">
        <v>-4396.9366847228957</v>
      </c>
    </row>
    <row r="1252" spans="1:2" x14ac:dyDescent="0.2">
      <c r="A1252">
        <v>11199.819052708452</v>
      </c>
      <c r="B1252">
        <v>-4396.8128114952269</v>
      </c>
    </row>
    <row r="1253" spans="1:2" x14ac:dyDescent="0.2">
      <c r="A1253">
        <v>13959.122874756984</v>
      </c>
      <c r="B1253">
        <v>-4391.1126695625426</v>
      </c>
    </row>
    <row r="1254" spans="1:2" x14ac:dyDescent="0.2">
      <c r="A1254">
        <v>-7641.4338633678271</v>
      </c>
      <c r="B1254">
        <v>-4379.9849298854824</v>
      </c>
    </row>
    <row r="1255" spans="1:2" x14ac:dyDescent="0.2">
      <c r="A1255">
        <v>-26298.179685872281</v>
      </c>
      <c r="B1255">
        <v>-4374.9439181193884</v>
      </c>
    </row>
    <row r="1256" spans="1:2" x14ac:dyDescent="0.2">
      <c r="A1256">
        <v>10272.555666073167</v>
      </c>
      <c r="B1256">
        <v>-4373.4888790880213</v>
      </c>
    </row>
    <row r="1257" spans="1:2" x14ac:dyDescent="0.2">
      <c r="A1257">
        <v>1297.3273578007938</v>
      </c>
      <c r="B1257">
        <v>-4367.0227394835674</v>
      </c>
    </row>
    <row r="1258" spans="1:2" x14ac:dyDescent="0.2">
      <c r="A1258">
        <v>1130.5061985328502</v>
      </c>
      <c r="B1258">
        <v>-4346.7787719624757</v>
      </c>
    </row>
    <row r="1259" spans="1:2" x14ac:dyDescent="0.2">
      <c r="A1259">
        <v>-33493.195204196265</v>
      </c>
      <c r="B1259">
        <v>-4342.0058994488791</v>
      </c>
    </row>
    <row r="1260" spans="1:2" x14ac:dyDescent="0.2">
      <c r="A1260">
        <v>-4692.8482363540097</v>
      </c>
      <c r="B1260">
        <v>-4339.9260030903679</v>
      </c>
    </row>
    <row r="1261" spans="1:2" x14ac:dyDescent="0.2">
      <c r="A1261">
        <v>9468.4547653665068</v>
      </c>
      <c r="B1261">
        <v>-4334.7954648372834</v>
      </c>
    </row>
    <row r="1262" spans="1:2" x14ac:dyDescent="0.2">
      <c r="A1262">
        <v>6912.8635345908115</v>
      </c>
      <c r="B1262">
        <v>-4332.2571438336454</v>
      </c>
    </row>
    <row r="1263" spans="1:2" x14ac:dyDescent="0.2">
      <c r="A1263">
        <v>6684.8570102969534</v>
      </c>
      <c r="B1263">
        <v>-4327.8325834358693</v>
      </c>
    </row>
    <row r="1264" spans="1:2" x14ac:dyDescent="0.2">
      <c r="A1264">
        <v>10209.273648716538</v>
      </c>
      <c r="B1264">
        <v>-4322.6509283144842</v>
      </c>
    </row>
    <row r="1265" spans="1:2" x14ac:dyDescent="0.2">
      <c r="A1265">
        <v>18399.626297660987</v>
      </c>
      <c r="B1265">
        <v>-4316.5350624636631</v>
      </c>
    </row>
    <row r="1266" spans="1:2" x14ac:dyDescent="0.2">
      <c r="A1266">
        <v>10660.114042765228</v>
      </c>
      <c r="B1266">
        <v>-4302.2848931837361</v>
      </c>
    </row>
    <row r="1267" spans="1:2" x14ac:dyDescent="0.2">
      <c r="A1267">
        <v>504.78534956125077</v>
      </c>
      <c r="B1267">
        <v>-4286.4127295003855</v>
      </c>
    </row>
    <row r="1268" spans="1:2" x14ac:dyDescent="0.2">
      <c r="A1268">
        <v>-14156.077098309499</v>
      </c>
      <c r="B1268">
        <v>-4273.7640405796701</v>
      </c>
    </row>
    <row r="1269" spans="1:2" x14ac:dyDescent="0.2">
      <c r="A1269">
        <v>8788.4167413660616</v>
      </c>
      <c r="B1269">
        <v>-4258.3399767833762</v>
      </c>
    </row>
    <row r="1270" spans="1:2" x14ac:dyDescent="0.2">
      <c r="A1270">
        <v>-3982.1234084804601</v>
      </c>
      <c r="B1270">
        <v>-4255.625996283401</v>
      </c>
    </row>
    <row r="1271" spans="1:2" x14ac:dyDescent="0.2">
      <c r="A1271">
        <v>5026.7701275786094</v>
      </c>
      <c r="B1271">
        <v>-4255.198237486271</v>
      </c>
    </row>
    <row r="1272" spans="1:2" x14ac:dyDescent="0.2">
      <c r="A1272">
        <v>-8888.5909904693253</v>
      </c>
      <c r="B1272">
        <v>-4247.8530613346375</v>
      </c>
    </row>
    <row r="1273" spans="1:2" x14ac:dyDescent="0.2">
      <c r="A1273">
        <v>-11257.097894000151</v>
      </c>
      <c r="B1273">
        <v>-4245.2811577054672</v>
      </c>
    </row>
    <row r="1274" spans="1:2" x14ac:dyDescent="0.2">
      <c r="A1274">
        <v>1714.9418020391022</v>
      </c>
      <c r="B1274">
        <v>-4242.7274252345669</v>
      </c>
    </row>
    <row r="1275" spans="1:2" x14ac:dyDescent="0.2">
      <c r="A1275">
        <v>13612.554787456495</v>
      </c>
      <c r="B1275">
        <v>-4241.8182974201627</v>
      </c>
    </row>
    <row r="1276" spans="1:2" x14ac:dyDescent="0.2">
      <c r="A1276">
        <v>-25509.731687534018</v>
      </c>
      <c r="B1276">
        <v>-4239.9553325692541</v>
      </c>
    </row>
    <row r="1277" spans="1:2" x14ac:dyDescent="0.2">
      <c r="A1277">
        <v>423.16230857925257</v>
      </c>
      <c r="B1277">
        <v>-4230.8641177353857</v>
      </c>
    </row>
    <row r="1278" spans="1:2" x14ac:dyDescent="0.2">
      <c r="A1278">
        <v>-2496.3053971020272</v>
      </c>
      <c r="B1278">
        <v>-4230.4365733281593</v>
      </c>
    </row>
    <row r="1279" spans="1:2" x14ac:dyDescent="0.2">
      <c r="A1279">
        <v>14097.896970032365</v>
      </c>
      <c r="B1279">
        <v>-4229.4038355029188</v>
      </c>
    </row>
    <row r="1280" spans="1:2" x14ac:dyDescent="0.2">
      <c r="A1280">
        <v>-1390.3598803830682</v>
      </c>
      <c r="B1280">
        <v>-4227.628647193138</v>
      </c>
    </row>
    <row r="1281" spans="1:2" x14ac:dyDescent="0.2">
      <c r="A1281">
        <v>12217.560153523256</v>
      </c>
      <c r="B1281">
        <v>-4224.2930473886663</v>
      </c>
    </row>
    <row r="1282" spans="1:2" x14ac:dyDescent="0.2">
      <c r="A1282">
        <v>-1105.0081520472595</v>
      </c>
      <c r="B1282">
        <v>-4223.6048962276545</v>
      </c>
    </row>
    <row r="1283" spans="1:2" x14ac:dyDescent="0.2">
      <c r="A1283">
        <v>5917.3449685165251</v>
      </c>
      <c r="B1283">
        <v>-4222.454562683939</v>
      </c>
    </row>
    <row r="1284" spans="1:2" x14ac:dyDescent="0.2">
      <c r="A1284">
        <v>4729.6475686854683</v>
      </c>
      <c r="B1284">
        <v>-4220.8774251742288</v>
      </c>
    </row>
    <row r="1285" spans="1:2" x14ac:dyDescent="0.2">
      <c r="A1285">
        <v>4198.1366091762902</v>
      </c>
      <c r="B1285">
        <v>-4216.9719436012965</v>
      </c>
    </row>
    <row r="1286" spans="1:2" x14ac:dyDescent="0.2">
      <c r="A1286">
        <v>11247.255074409768</v>
      </c>
      <c r="B1286">
        <v>-4211.1321529832203</v>
      </c>
    </row>
    <row r="1287" spans="1:2" x14ac:dyDescent="0.2">
      <c r="A1287">
        <v>-3234.7008377357852</v>
      </c>
      <c r="B1287">
        <v>-4202.3294296761596</v>
      </c>
    </row>
    <row r="1288" spans="1:2" x14ac:dyDescent="0.2">
      <c r="A1288">
        <v>-7254.1526975987363</v>
      </c>
      <c r="B1288">
        <v>-4200.7600198587752</v>
      </c>
    </row>
    <row r="1289" spans="1:2" x14ac:dyDescent="0.2">
      <c r="A1289">
        <v>8255.6112850240315</v>
      </c>
      <c r="B1289">
        <v>-4195.5267304122099</v>
      </c>
    </row>
    <row r="1290" spans="1:2" x14ac:dyDescent="0.2">
      <c r="A1290">
        <v>1042.8263018606813</v>
      </c>
      <c r="B1290">
        <v>-4181.0880919615738</v>
      </c>
    </row>
    <row r="1291" spans="1:2" x14ac:dyDescent="0.2">
      <c r="A1291">
        <v>-6941.0432578646578</v>
      </c>
      <c r="B1291">
        <v>-4177.4321812366834</v>
      </c>
    </row>
    <row r="1292" spans="1:2" x14ac:dyDescent="0.2">
      <c r="A1292">
        <v>3508.600619247125</v>
      </c>
      <c r="B1292">
        <v>-4174.5062607167347</v>
      </c>
    </row>
    <row r="1293" spans="1:2" x14ac:dyDescent="0.2">
      <c r="A1293">
        <v>1694.94552604403</v>
      </c>
      <c r="B1293">
        <v>-4168.8016732159012</v>
      </c>
    </row>
    <row r="1294" spans="1:2" x14ac:dyDescent="0.2">
      <c r="A1294">
        <v>3994.8750811832433</v>
      </c>
      <c r="B1294">
        <v>-4168.3722800782998</v>
      </c>
    </row>
    <row r="1295" spans="1:2" x14ac:dyDescent="0.2">
      <c r="A1295">
        <v>9705.2652253559791</v>
      </c>
      <c r="B1295">
        <v>-4163.4437465810915</v>
      </c>
    </row>
    <row r="1296" spans="1:2" x14ac:dyDescent="0.2">
      <c r="A1296">
        <v>13469.039180478227</v>
      </c>
      <c r="B1296">
        <v>-4161.8614923185669</v>
      </c>
    </row>
    <row r="1297" spans="1:2" x14ac:dyDescent="0.2">
      <c r="A1297">
        <v>6523.9536904018023</v>
      </c>
      <c r="B1297">
        <v>-4146.9866488159751</v>
      </c>
    </row>
    <row r="1298" spans="1:2" x14ac:dyDescent="0.2">
      <c r="A1298">
        <v>4998.1223810679512</v>
      </c>
      <c r="B1298">
        <v>-4141.7329761342844</v>
      </c>
    </row>
    <row r="1299" spans="1:2" x14ac:dyDescent="0.2">
      <c r="A1299">
        <v>10086.295649583917</v>
      </c>
      <c r="B1299">
        <v>-4134.4084466258064</v>
      </c>
    </row>
    <row r="1300" spans="1:2" x14ac:dyDescent="0.2">
      <c r="A1300">
        <v>445.34119833112345</v>
      </c>
      <c r="B1300">
        <v>-4125.5241378836799</v>
      </c>
    </row>
    <row r="1301" spans="1:2" x14ac:dyDescent="0.2">
      <c r="A1301">
        <v>16889.76236494843</v>
      </c>
      <c r="B1301">
        <v>-4123.525446172629</v>
      </c>
    </row>
    <row r="1302" spans="1:2" x14ac:dyDescent="0.2">
      <c r="A1302">
        <v>-2586.123130392516</v>
      </c>
      <c r="B1302">
        <v>-4122.4528299888334</v>
      </c>
    </row>
    <row r="1303" spans="1:2" x14ac:dyDescent="0.2">
      <c r="A1303">
        <v>1354.8390070980531</v>
      </c>
      <c r="B1303">
        <v>-4117.0033676670282</v>
      </c>
    </row>
    <row r="1304" spans="1:2" x14ac:dyDescent="0.2">
      <c r="A1304">
        <v>-3051.2515689065913</v>
      </c>
      <c r="B1304">
        <v>-4098.4208755323489</v>
      </c>
    </row>
    <row r="1305" spans="1:2" x14ac:dyDescent="0.2">
      <c r="A1305">
        <v>-4632.68196323968</v>
      </c>
      <c r="B1305">
        <v>-4092.8331509299751</v>
      </c>
    </row>
    <row r="1306" spans="1:2" x14ac:dyDescent="0.2">
      <c r="A1306">
        <v>-4474.4907325945969</v>
      </c>
      <c r="B1306">
        <v>-4092.3241800664109</v>
      </c>
    </row>
    <row r="1307" spans="1:2" x14ac:dyDescent="0.2">
      <c r="A1307">
        <v>3159.0679107434698</v>
      </c>
      <c r="B1307">
        <v>-4076.984021054639</v>
      </c>
    </row>
    <row r="1308" spans="1:2" x14ac:dyDescent="0.2">
      <c r="A1308">
        <v>364.13143070411752</v>
      </c>
      <c r="B1308">
        <v>-4072.1844065646001</v>
      </c>
    </row>
    <row r="1309" spans="1:2" x14ac:dyDescent="0.2">
      <c r="A1309">
        <v>949.18863055628026</v>
      </c>
      <c r="B1309">
        <v>-4068.013111245964</v>
      </c>
    </row>
    <row r="1310" spans="1:2" x14ac:dyDescent="0.2">
      <c r="A1310">
        <v>493.87486688498757</v>
      </c>
      <c r="B1310">
        <v>-4062.4778373386944</v>
      </c>
    </row>
    <row r="1311" spans="1:2" x14ac:dyDescent="0.2">
      <c r="A1311">
        <v>3670.2117393408844</v>
      </c>
      <c r="B1311">
        <v>-4049.9153701306204</v>
      </c>
    </row>
    <row r="1312" spans="1:2" x14ac:dyDescent="0.2">
      <c r="A1312">
        <v>5275.8852764273761</v>
      </c>
      <c r="B1312">
        <v>-4047.8210474140942</v>
      </c>
    </row>
    <row r="1313" spans="1:2" x14ac:dyDescent="0.2">
      <c r="A1313">
        <v>7046.1848371715751</v>
      </c>
      <c r="B1313">
        <v>-4044.559758591553</v>
      </c>
    </row>
    <row r="1314" spans="1:2" x14ac:dyDescent="0.2">
      <c r="A1314">
        <v>4646.0324057240505</v>
      </c>
      <c r="B1314">
        <v>-4042.2250100531674</v>
      </c>
    </row>
    <row r="1315" spans="1:2" x14ac:dyDescent="0.2">
      <c r="A1315">
        <v>-1491.31228412583</v>
      </c>
      <c r="B1315">
        <v>-4028.5778676106711</v>
      </c>
    </row>
    <row r="1316" spans="1:2" x14ac:dyDescent="0.2">
      <c r="A1316">
        <v>1386.7346705570817</v>
      </c>
      <c r="B1316">
        <v>-4025.8780149682425</v>
      </c>
    </row>
    <row r="1317" spans="1:2" x14ac:dyDescent="0.2">
      <c r="A1317">
        <v>-581.50152001006063</v>
      </c>
      <c r="B1317">
        <v>-4010.1934923210065</v>
      </c>
    </row>
    <row r="1318" spans="1:2" x14ac:dyDescent="0.2">
      <c r="A1318">
        <v>8108.2491503280762</v>
      </c>
      <c r="B1318">
        <v>-3994.7330029119621</v>
      </c>
    </row>
    <row r="1319" spans="1:2" x14ac:dyDescent="0.2">
      <c r="A1319">
        <v>10769.892061370541</v>
      </c>
      <c r="B1319">
        <v>-3982.1234084804601</v>
      </c>
    </row>
    <row r="1320" spans="1:2" x14ac:dyDescent="0.2">
      <c r="A1320">
        <v>-5709.1120390925498</v>
      </c>
      <c r="B1320">
        <v>-3979.9167761972058</v>
      </c>
    </row>
    <row r="1321" spans="1:2" x14ac:dyDescent="0.2">
      <c r="A1321">
        <v>3288.8784179785289</v>
      </c>
      <c r="B1321">
        <v>-3978.7708661113866</v>
      </c>
    </row>
    <row r="1322" spans="1:2" x14ac:dyDescent="0.2">
      <c r="A1322">
        <v>11964.5245599029</v>
      </c>
      <c r="B1322">
        <v>-3974.8628008440719</v>
      </c>
    </row>
    <row r="1323" spans="1:2" x14ac:dyDescent="0.2">
      <c r="A1323">
        <v>7701.558398088353</v>
      </c>
      <c r="B1323">
        <v>-3969.0451706686872</v>
      </c>
    </row>
    <row r="1324" spans="1:2" x14ac:dyDescent="0.2">
      <c r="A1324">
        <v>87.342213439987972</v>
      </c>
      <c r="B1324">
        <v>-3962.0613102550269</v>
      </c>
    </row>
    <row r="1325" spans="1:2" x14ac:dyDescent="0.2">
      <c r="A1325">
        <v>-8303.9760864253622</v>
      </c>
      <c r="B1325">
        <v>-3955.6443147198879</v>
      </c>
    </row>
    <row r="1326" spans="1:2" x14ac:dyDescent="0.2">
      <c r="A1326">
        <v>10436.306232016505</v>
      </c>
      <c r="B1326">
        <v>-3952.7883652890159</v>
      </c>
    </row>
    <row r="1327" spans="1:2" x14ac:dyDescent="0.2">
      <c r="A1327">
        <v>16988.228452065261</v>
      </c>
      <c r="B1327">
        <v>-3949.2716812587169</v>
      </c>
    </row>
    <row r="1328" spans="1:2" x14ac:dyDescent="0.2">
      <c r="A1328">
        <v>4489.8724929815799</v>
      </c>
      <c r="B1328">
        <v>-3942.1864316184365</v>
      </c>
    </row>
    <row r="1329" spans="1:2" x14ac:dyDescent="0.2">
      <c r="A1329">
        <v>-928.04050731076859</v>
      </c>
      <c r="B1329">
        <v>-3939.2255982827628</v>
      </c>
    </row>
    <row r="1330" spans="1:2" x14ac:dyDescent="0.2">
      <c r="A1330">
        <v>-1070.4466658030287</v>
      </c>
      <c r="B1330">
        <v>-3933.7359959083842</v>
      </c>
    </row>
    <row r="1331" spans="1:2" x14ac:dyDescent="0.2">
      <c r="A1331">
        <v>4926.9189691399515</v>
      </c>
      <c r="B1331">
        <v>-3924.0628605697711</v>
      </c>
    </row>
    <row r="1332" spans="1:2" x14ac:dyDescent="0.2">
      <c r="A1332">
        <v>-18547.576416977274</v>
      </c>
      <c r="B1332">
        <v>-3921.7798315640539</v>
      </c>
    </row>
    <row r="1333" spans="1:2" x14ac:dyDescent="0.2">
      <c r="A1333">
        <v>768.23533721992862</v>
      </c>
      <c r="B1333">
        <v>-3918.2785574940208</v>
      </c>
    </row>
    <row r="1334" spans="1:2" x14ac:dyDescent="0.2">
      <c r="A1334">
        <v>-2143.4645492218842</v>
      </c>
      <c r="B1334">
        <v>-3912.7349519857089</v>
      </c>
    </row>
    <row r="1335" spans="1:2" x14ac:dyDescent="0.2">
      <c r="A1335">
        <v>-14295.667481636978</v>
      </c>
      <c r="B1335">
        <v>-3909.6063626033138</v>
      </c>
    </row>
    <row r="1336" spans="1:2" x14ac:dyDescent="0.2">
      <c r="A1336">
        <v>1271.5487181724457</v>
      </c>
      <c r="B1336">
        <v>-3904.2572347369278</v>
      </c>
    </row>
    <row r="1337" spans="1:2" x14ac:dyDescent="0.2">
      <c r="A1337">
        <v>15729.254677160876</v>
      </c>
      <c r="B1337">
        <v>-3897.3487712317728</v>
      </c>
    </row>
    <row r="1338" spans="1:2" x14ac:dyDescent="0.2">
      <c r="A1338">
        <v>3240.7571472147247</v>
      </c>
      <c r="B1338">
        <v>-3894.7430242608825</v>
      </c>
    </row>
    <row r="1339" spans="1:2" x14ac:dyDescent="0.2">
      <c r="A1339">
        <v>881.9266655559768</v>
      </c>
      <c r="B1339">
        <v>-3893.4891282359022</v>
      </c>
    </row>
    <row r="1340" spans="1:2" x14ac:dyDescent="0.2">
      <c r="A1340">
        <v>2868.9935187774245</v>
      </c>
      <c r="B1340">
        <v>-3886.6494646026986</v>
      </c>
    </row>
    <row r="1341" spans="1:2" x14ac:dyDescent="0.2">
      <c r="A1341">
        <v>1712.510022834409</v>
      </c>
      <c r="B1341">
        <v>-3881.0377383862506</v>
      </c>
    </row>
    <row r="1342" spans="1:2" x14ac:dyDescent="0.2">
      <c r="A1342">
        <v>-8956.0622128850664</v>
      </c>
      <c r="B1342">
        <v>-3879.3593981521553</v>
      </c>
    </row>
    <row r="1343" spans="1:2" x14ac:dyDescent="0.2">
      <c r="A1343">
        <v>35457.500019964005</v>
      </c>
      <c r="B1343">
        <v>-3874.0338183984277</v>
      </c>
    </row>
    <row r="1344" spans="1:2" x14ac:dyDescent="0.2">
      <c r="A1344">
        <v>9174.697425298451</v>
      </c>
      <c r="B1344">
        <v>-3873.2828625477268</v>
      </c>
    </row>
    <row r="1345" spans="1:2" x14ac:dyDescent="0.2">
      <c r="A1345">
        <v>17898.235624998022</v>
      </c>
      <c r="B1345">
        <v>-3870.734566416766</v>
      </c>
    </row>
    <row r="1346" spans="1:2" x14ac:dyDescent="0.2">
      <c r="A1346">
        <v>7819.9058901987155</v>
      </c>
      <c r="B1346">
        <v>-3866.8386798674765</v>
      </c>
    </row>
    <row r="1347" spans="1:2" x14ac:dyDescent="0.2">
      <c r="A1347">
        <v>8174.3323144190363</v>
      </c>
      <c r="B1347">
        <v>-3863.6370313324733</v>
      </c>
    </row>
    <row r="1348" spans="1:2" x14ac:dyDescent="0.2">
      <c r="A1348">
        <v>2512.6861348206003</v>
      </c>
      <c r="B1348">
        <v>-3863.6069896578556</v>
      </c>
    </row>
    <row r="1349" spans="1:2" x14ac:dyDescent="0.2">
      <c r="A1349">
        <v>4335.0297495592386</v>
      </c>
      <c r="B1349">
        <v>-3855.9746118239127</v>
      </c>
    </row>
    <row r="1350" spans="1:2" x14ac:dyDescent="0.2">
      <c r="A1350">
        <v>15763.551710504165</v>
      </c>
      <c r="B1350">
        <v>-3849.8720134189061</v>
      </c>
    </row>
    <row r="1351" spans="1:2" x14ac:dyDescent="0.2">
      <c r="A1351">
        <v>11880.642893182579</v>
      </c>
      <c r="B1351">
        <v>-3832.936950408126</v>
      </c>
    </row>
    <row r="1352" spans="1:2" x14ac:dyDescent="0.2">
      <c r="A1352">
        <v>14439.709737186262</v>
      </c>
      <c r="B1352">
        <v>-3822.4589400346158</v>
      </c>
    </row>
    <row r="1353" spans="1:2" x14ac:dyDescent="0.2">
      <c r="A1353">
        <v>-8569.3507334443566</v>
      </c>
      <c r="B1353">
        <v>-3801.2025136735465</v>
      </c>
    </row>
    <row r="1354" spans="1:2" x14ac:dyDescent="0.2">
      <c r="A1354">
        <v>10219.544727676082</v>
      </c>
      <c r="B1354">
        <v>-3798.6050082727161</v>
      </c>
    </row>
    <row r="1355" spans="1:2" x14ac:dyDescent="0.2">
      <c r="A1355">
        <v>10598.139347312972</v>
      </c>
      <c r="B1355">
        <v>-3773.8999678785913</v>
      </c>
    </row>
    <row r="1356" spans="1:2" x14ac:dyDescent="0.2">
      <c r="A1356">
        <v>1265.4929116334824</v>
      </c>
      <c r="B1356">
        <v>-3773.042905984621</v>
      </c>
    </row>
    <row r="1357" spans="1:2" x14ac:dyDescent="0.2">
      <c r="A1357">
        <v>-9950.2054067620775</v>
      </c>
      <c r="B1357">
        <v>-3769.5315927979536</v>
      </c>
    </row>
    <row r="1358" spans="1:2" x14ac:dyDescent="0.2">
      <c r="A1358">
        <v>1132.6963138957799</v>
      </c>
      <c r="B1358">
        <v>-3767.7827975931286</v>
      </c>
    </row>
    <row r="1359" spans="1:2" x14ac:dyDescent="0.2">
      <c r="A1359">
        <v>-7229.1435495787882</v>
      </c>
      <c r="B1359">
        <v>-3759.9173566182726</v>
      </c>
    </row>
    <row r="1360" spans="1:2" x14ac:dyDescent="0.2">
      <c r="A1360">
        <v>-3553.410723945417</v>
      </c>
      <c r="B1360">
        <v>-3759.6603030616534</v>
      </c>
    </row>
    <row r="1361" spans="1:2" x14ac:dyDescent="0.2">
      <c r="A1361">
        <v>-1888.0268032231252</v>
      </c>
      <c r="B1361">
        <v>-3753.9657056463766</v>
      </c>
    </row>
    <row r="1362" spans="1:2" x14ac:dyDescent="0.2">
      <c r="A1362">
        <v>4582.6713085462106</v>
      </c>
      <c r="B1362">
        <v>-3746.9676191960461</v>
      </c>
    </row>
    <row r="1363" spans="1:2" x14ac:dyDescent="0.2">
      <c r="A1363">
        <v>2060.289781213447</v>
      </c>
      <c r="B1363">
        <v>-3745.512380770786</v>
      </c>
    </row>
    <row r="1364" spans="1:2" x14ac:dyDescent="0.2">
      <c r="A1364">
        <v>2455.1370634745108</v>
      </c>
      <c r="B1364">
        <v>-3739.2292887843505</v>
      </c>
    </row>
    <row r="1365" spans="1:2" x14ac:dyDescent="0.2">
      <c r="A1365">
        <v>-2317.0134682030766</v>
      </c>
      <c r="B1365">
        <v>-3737.9800626738579</v>
      </c>
    </row>
    <row r="1366" spans="1:2" x14ac:dyDescent="0.2">
      <c r="A1366">
        <v>5114.1666935910471</v>
      </c>
      <c r="B1366">
        <v>-3715.327343428391</v>
      </c>
    </row>
    <row r="1367" spans="1:2" x14ac:dyDescent="0.2">
      <c r="A1367">
        <v>988.30646286389674</v>
      </c>
      <c r="B1367">
        <v>-3706.4585932771442</v>
      </c>
    </row>
    <row r="1368" spans="1:2" x14ac:dyDescent="0.2">
      <c r="A1368">
        <v>-19721.126815485011</v>
      </c>
      <c r="B1368">
        <v>-3699.9552080950234</v>
      </c>
    </row>
    <row r="1369" spans="1:2" x14ac:dyDescent="0.2">
      <c r="A1369">
        <v>-4322.6509283144842</v>
      </c>
      <c r="B1369">
        <v>-3695.0958981485455</v>
      </c>
    </row>
    <row r="1370" spans="1:2" x14ac:dyDescent="0.2">
      <c r="A1370">
        <v>-1696.7992456675565</v>
      </c>
      <c r="B1370">
        <v>-3690.0212904722721</v>
      </c>
    </row>
    <row r="1371" spans="1:2" x14ac:dyDescent="0.2">
      <c r="A1371">
        <v>938.39619792511803</v>
      </c>
      <c r="B1371">
        <v>-3686.5497803843464</v>
      </c>
    </row>
    <row r="1372" spans="1:2" x14ac:dyDescent="0.2">
      <c r="A1372">
        <v>14420.992245868314</v>
      </c>
      <c r="B1372">
        <v>-3681.7758590781013</v>
      </c>
    </row>
    <row r="1373" spans="1:2" x14ac:dyDescent="0.2">
      <c r="A1373">
        <v>1247.0770415182342</v>
      </c>
      <c r="B1373">
        <v>-3680.4800855442882</v>
      </c>
    </row>
    <row r="1374" spans="1:2" x14ac:dyDescent="0.2">
      <c r="A1374">
        <v>12291.991495041351</v>
      </c>
      <c r="B1374">
        <v>-3677.9436867161712</v>
      </c>
    </row>
    <row r="1375" spans="1:2" x14ac:dyDescent="0.2">
      <c r="A1375">
        <v>3039.2815358650405</v>
      </c>
      <c r="B1375">
        <v>-3661.5833653605659</v>
      </c>
    </row>
    <row r="1376" spans="1:2" x14ac:dyDescent="0.2">
      <c r="A1376">
        <v>448.92386469262419</v>
      </c>
      <c r="B1376">
        <v>-3661.1358454328147</v>
      </c>
    </row>
    <row r="1377" spans="1:2" x14ac:dyDescent="0.2">
      <c r="A1377">
        <v>-1644.2464232912753</v>
      </c>
      <c r="B1377">
        <v>-3660.7444771705195</v>
      </c>
    </row>
    <row r="1378" spans="1:2" x14ac:dyDescent="0.2">
      <c r="A1378">
        <v>-17407.524133015162</v>
      </c>
      <c r="B1378">
        <v>-3652.9670600756654</v>
      </c>
    </row>
    <row r="1379" spans="1:2" x14ac:dyDescent="0.2">
      <c r="A1379">
        <v>-11922.856729140534</v>
      </c>
      <c r="B1379">
        <v>-3648.187863443949</v>
      </c>
    </row>
    <row r="1380" spans="1:2" x14ac:dyDescent="0.2">
      <c r="A1380">
        <v>12054.498174409819</v>
      </c>
      <c r="B1380">
        <v>-3641.9375453916728</v>
      </c>
    </row>
    <row r="1381" spans="1:2" x14ac:dyDescent="0.2">
      <c r="A1381">
        <v>3426.639340768801</v>
      </c>
      <c r="B1381">
        <v>-3640.3925617390196</v>
      </c>
    </row>
    <row r="1382" spans="1:2" x14ac:dyDescent="0.2">
      <c r="A1382">
        <v>8462.4922937579104</v>
      </c>
      <c r="B1382">
        <v>-3639.7855947883218</v>
      </c>
    </row>
    <row r="1383" spans="1:2" x14ac:dyDescent="0.2">
      <c r="A1383">
        <v>13258.038002758985</v>
      </c>
      <c r="B1383">
        <v>-3620.3564833328128</v>
      </c>
    </row>
    <row r="1384" spans="1:2" x14ac:dyDescent="0.2">
      <c r="A1384">
        <v>19434.685437515815</v>
      </c>
      <c r="B1384">
        <v>-3618.8079140078626</v>
      </c>
    </row>
    <row r="1385" spans="1:2" x14ac:dyDescent="0.2">
      <c r="A1385">
        <v>-2812.3277713218122</v>
      </c>
      <c r="B1385">
        <v>-3611.9620885047771</v>
      </c>
    </row>
    <row r="1386" spans="1:2" x14ac:dyDescent="0.2">
      <c r="A1386">
        <v>3104.665557881759</v>
      </c>
      <c r="B1386">
        <v>-3599.376532215887</v>
      </c>
    </row>
    <row r="1387" spans="1:2" x14ac:dyDescent="0.2">
      <c r="A1387">
        <v>5592.8341649557406</v>
      </c>
      <c r="B1387">
        <v>-3584.512057823682</v>
      </c>
    </row>
    <row r="1388" spans="1:2" x14ac:dyDescent="0.2">
      <c r="A1388">
        <v>-9246.9207054435974</v>
      </c>
      <c r="B1388">
        <v>-3561.6702746162191</v>
      </c>
    </row>
    <row r="1389" spans="1:2" x14ac:dyDescent="0.2">
      <c r="A1389">
        <v>1009.2775084346649</v>
      </c>
      <c r="B1389">
        <v>-3553.410723945417</v>
      </c>
    </row>
    <row r="1390" spans="1:2" x14ac:dyDescent="0.2">
      <c r="A1390">
        <v>-946.11401869211113</v>
      </c>
      <c r="B1390">
        <v>-3553.3001747973613</v>
      </c>
    </row>
    <row r="1391" spans="1:2" x14ac:dyDescent="0.2">
      <c r="A1391">
        <v>-4555.543284778425</v>
      </c>
      <c r="B1391">
        <v>-3549.8993108376308</v>
      </c>
    </row>
    <row r="1392" spans="1:2" x14ac:dyDescent="0.2">
      <c r="A1392">
        <v>-10098.911665887514</v>
      </c>
      <c r="B1392">
        <v>-3546.8782125799917</v>
      </c>
    </row>
    <row r="1393" spans="1:2" x14ac:dyDescent="0.2">
      <c r="A1393">
        <v>10755.63398859711</v>
      </c>
      <c r="B1393">
        <v>-3536.9981759684742</v>
      </c>
    </row>
    <row r="1394" spans="1:2" x14ac:dyDescent="0.2">
      <c r="A1394">
        <v>-6155.3557047300856</v>
      </c>
      <c r="B1394">
        <v>-3526.1362338796025</v>
      </c>
    </row>
    <row r="1395" spans="1:2" x14ac:dyDescent="0.2">
      <c r="A1395">
        <v>5920.0713031859486</v>
      </c>
      <c r="B1395">
        <v>-3521.9948176123144</v>
      </c>
    </row>
    <row r="1396" spans="1:2" x14ac:dyDescent="0.2">
      <c r="A1396">
        <v>13493.223356042348</v>
      </c>
      <c r="B1396">
        <v>-3512.6666663270735</v>
      </c>
    </row>
    <row r="1397" spans="1:2" x14ac:dyDescent="0.2">
      <c r="A1397">
        <v>10965.176977452764</v>
      </c>
      <c r="B1397">
        <v>-3511.8422788086464</v>
      </c>
    </row>
    <row r="1398" spans="1:2" x14ac:dyDescent="0.2">
      <c r="A1398">
        <v>10876.972233563749</v>
      </c>
      <c r="B1398">
        <v>-3506.1703338955413</v>
      </c>
    </row>
    <row r="1399" spans="1:2" x14ac:dyDescent="0.2">
      <c r="A1399">
        <v>2650.986277091899</v>
      </c>
      <c r="B1399">
        <v>-3489.3923881954688</v>
      </c>
    </row>
    <row r="1400" spans="1:2" x14ac:dyDescent="0.2">
      <c r="A1400">
        <v>12197.170634992188</v>
      </c>
      <c r="B1400">
        <v>-3474.2663146781852</v>
      </c>
    </row>
    <row r="1401" spans="1:2" x14ac:dyDescent="0.2">
      <c r="A1401">
        <v>-12.353673748701112</v>
      </c>
      <c r="B1401">
        <v>-3471.935652998829</v>
      </c>
    </row>
    <row r="1402" spans="1:2" x14ac:dyDescent="0.2">
      <c r="A1402">
        <v>-24618.660372969694</v>
      </c>
      <c r="B1402">
        <v>-3468.7376732307603</v>
      </c>
    </row>
    <row r="1403" spans="1:2" x14ac:dyDescent="0.2">
      <c r="A1403">
        <v>6629.1518410477438</v>
      </c>
      <c r="B1403">
        <v>-3466.7142375393887</v>
      </c>
    </row>
    <row r="1404" spans="1:2" x14ac:dyDescent="0.2">
      <c r="A1404">
        <v>-9890.0452206448826</v>
      </c>
      <c r="B1404">
        <v>-3461.1253849866916</v>
      </c>
    </row>
    <row r="1405" spans="1:2" x14ac:dyDescent="0.2">
      <c r="A1405">
        <v>2362.1079183943802</v>
      </c>
      <c r="B1405">
        <v>-3440.2610043153109</v>
      </c>
    </row>
    <row r="1406" spans="1:2" x14ac:dyDescent="0.2">
      <c r="A1406">
        <v>-3112.1737493528053</v>
      </c>
      <c r="B1406">
        <v>-3437.4902596409083</v>
      </c>
    </row>
    <row r="1407" spans="1:2" x14ac:dyDescent="0.2">
      <c r="A1407">
        <v>-1644.4786483993521</v>
      </c>
      <c r="B1407">
        <v>-3425.3335064370185</v>
      </c>
    </row>
    <row r="1408" spans="1:2" x14ac:dyDescent="0.2">
      <c r="A1408">
        <v>12750.795651814668</v>
      </c>
      <c r="B1408">
        <v>-3420.0915148601052</v>
      </c>
    </row>
    <row r="1409" spans="1:2" x14ac:dyDescent="0.2">
      <c r="A1409">
        <v>1382.2601474130061</v>
      </c>
      <c r="B1409">
        <v>-3417.1064270873321</v>
      </c>
    </row>
    <row r="1410" spans="1:2" x14ac:dyDescent="0.2">
      <c r="A1410">
        <v>-12033.118417789461</v>
      </c>
      <c r="B1410">
        <v>-3413.211987073184</v>
      </c>
    </row>
    <row r="1411" spans="1:2" x14ac:dyDescent="0.2">
      <c r="A1411">
        <v>1503.935438153625</v>
      </c>
      <c r="B1411">
        <v>-3411.2582659968466</v>
      </c>
    </row>
    <row r="1412" spans="1:2" x14ac:dyDescent="0.2">
      <c r="A1412">
        <v>-1214.289294332877</v>
      </c>
      <c r="B1412">
        <v>-3409.65384850587</v>
      </c>
    </row>
    <row r="1413" spans="1:2" x14ac:dyDescent="0.2">
      <c r="A1413">
        <v>-5352.3845949005627</v>
      </c>
      <c r="B1413">
        <v>-3407.8959559585201</v>
      </c>
    </row>
    <row r="1414" spans="1:2" x14ac:dyDescent="0.2">
      <c r="A1414">
        <v>-4541.1648965609202</v>
      </c>
      <c r="B1414">
        <v>-3404.4419885562966</v>
      </c>
    </row>
    <row r="1415" spans="1:2" x14ac:dyDescent="0.2">
      <c r="A1415">
        <v>1155.1383768888481</v>
      </c>
      <c r="B1415">
        <v>-3401.6695086746768</v>
      </c>
    </row>
    <row r="1416" spans="1:2" x14ac:dyDescent="0.2">
      <c r="A1416">
        <v>-3171.4690730168659</v>
      </c>
      <c r="B1416">
        <v>-3389.1512656939449</v>
      </c>
    </row>
    <row r="1417" spans="1:2" x14ac:dyDescent="0.2">
      <c r="A1417">
        <v>1366.8093265294447</v>
      </c>
      <c r="B1417">
        <v>-3373.6380819249316</v>
      </c>
    </row>
    <row r="1418" spans="1:2" x14ac:dyDescent="0.2">
      <c r="A1418">
        <v>11181.285046162899</v>
      </c>
      <c r="B1418">
        <v>-3367.4055656536075</v>
      </c>
    </row>
    <row r="1419" spans="1:2" x14ac:dyDescent="0.2">
      <c r="A1419">
        <v>4307.5259997799003</v>
      </c>
      <c r="B1419">
        <v>-3366.3462003541936</v>
      </c>
    </row>
    <row r="1420" spans="1:2" x14ac:dyDescent="0.2">
      <c r="A1420">
        <v>11994.02368274529</v>
      </c>
      <c r="B1420">
        <v>-3362.2333804433001</v>
      </c>
    </row>
    <row r="1421" spans="1:2" x14ac:dyDescent="0.2">
      <c r="A1421">
        <v>-24468.857533280971</v>
      </c>
      <c r="B1421">
        <v>-3361.3162115372252</v>
      </c>
    </row>
    <row r="1422" spans="1:2" x14ac:dyDescent="0.2">
      <c r="A1422">
        <v>5020.925933835897</v>
      </c>
      <c r="B1422">
        <v>-3359.289950071834</v>
      </c>
    </row>
    <row r="1423" spans="1:2" x14ac:dyDescent="0.2">
      <c r="A1423">
        <v>11050.553497135406</v>
      </c>
      <c r="B1423">
        <v>-3358.6899734449398</v>
      </c>
    </row>
    <row r="1424" spans="1:2" x14ac:dyDescent="0.2">
      <c r="A1424">
        <v>-5453.5464666635962</v>
      </c>
      <c r="B1424">
        <v>-3342.112038973195</v>
      </c>
    </row>
    <row r="1425" spans="1:2" x14ac:dyDescent="0.2">
      <c r="A1425">
        <v>6433.2820655072865</v>
      </c>
      <c r="B1425">
        <v>-3342.10334787381</v>
      </c>
    </row>
    <row r="1426" spans="1:2" x14ac:dyDescent="0.2">
      <c r="A1426">
        <v>-13068.64123784902</v>
      </c>
      <c r="B1426">
        <v>-3331.687132773397</v>
      </c>
    </row>
    <row r="1427" spans="1:2" x14ac:dyDescent="0.2">
      <c r="A1427">
        <v>5257.7988906935789</v>
      </c>
      <c r="B1427">
        <v>-3324.5569890437764</v>
      </c>
    </row>
    <row r="1428" spans="1:2" x14ac:dyDescent="0.2">
      <c r="A1428">
        <v>2810.5176462875097</v>
      </c>
      <c r="B1428">
        <v>-3322.519459621748</v>
      </c>
    </row>
    <row r="1429" spans="1:2" x14ac:dyDescent="0.2">
      <c r="A1429">
        <v>3785.9305273658829</v>
      </c>
      <c r="B1429">
        <v>-3299.9222985916713</v>
      </c>
    </row>
    <row r="1430" spans="1:2" x14ac:dyDescent="0.2">
      <c r="A1430">
        <v>2055.3727237651474</v>
      </c>
      <c r="B1430">
        <v>-3284.0633328368422</v>
      </c>
    </row>
    <row r="1431" spans="1:2" x14ac:dyDescent="0.2">
      <c r="A1431">
        <v>-11350.278185116011</v>
      </c>
      <c r="B1431">
        <v>-3279.8278153694991</v>
      </c>
    </row>
    <row r="1432" spans="1:2" x14ac:dyDescent="0.2">
      <c r="A1432">
        <v>-16659.486013644258</v>
      </c>
      <c r="B1432">
        <v>-3276.8019018351624</v>
      </c>
    </row>
    <row r="1433" spans="1:2" x14ac:dyDescent="0.2">
      <c r="A1433">
        <v>5058.0554919042625</v>
      </c>
      <c r="B1433">
        <v>-3263.3654351473378</v>
      </c>
    </row>
    <row r="1434" spans="1:2" x14ac:dyDescent="0.2">
      <c r="A1434">
        <v>178.95796135131968</v>
      </c>
      <c r="B1434">
        <v>-3262.1855311879481</v>
      </c>
    </row>
    <row r="1435" spans="1:2" x14ac:dyDescent="0.2">
      <c r="A1435">
        <v>2309.6291803785134</v>
      </c>
      <c r="B1435">
        <v>-3243.6177045206423</v>
      </c>
    </row>
    <row r="1436" spans="1:2" x14ac:dyDescent="0.2">
      <c r="A1436">
        <v>1426.2877325685695</v>
      </c>
      <c r="B1436">
        <v>-3238.4288683128252</v>
      </c>
    </row>
    <row r="1437" spans="1:2" x14ac:dyDescent="0.2">
      <c r="A1437">
        <v>-3420.0915148601052</v>
      </c>
      <c r="B1437">
        <v>-3237.4560518866638</v>
      </c>
    </row>
    <row r="1438" spans="1:2" x14ac:dyDescent="0.2">
      <c r="A1438">
        <v>-12757.112668025686</v>
      </c>
      <c r="B1438">
        <v>-3234.7008377357852</v>
      </c>
    </row>
    <row r="1439" spans="1:2" x14ac:dyDescent="0.2">
      <c r="A1439">
        <v>-1911.4591621848522</v>
      </c>
      <c r="B1439">
        <v>-3228.9913239195012</v>
      </c>
    </row>
    <row r="1440" spans="1:2" x14ac:dyDescent="0.2">
      <c r="A1440">
        <v>-4464.3015856112761</v>
      </c>
      <c r="B1440">
        <v>-3224.7939510635333</v>
      </c>
    </row>
    <row r="1441" spans="1:2" x14ac:dyDescent="0.2">
      <c r="A1441">
        <v>-2143.3838778847712</v>
      </c>
      <c r="B1441">
        <v>-3221.4159056025383</v>
      </c>
    </row>
    <row r="1442" spans="1:2" x14ac:dyDescent="0.2">
      <c r="A1442">
        <v>6047.3140807651216</v>
      </c>
      <c r="B1442">
        <v>-3218.0300237173797</v>
      </c>
    </row>
    <row r="1443" spans="1:2" x14ac:dyDescent="0.2">
      <c r="A1443">
        <v>1089.7888890951872</v>
      </c>
      <c r="B1443">
        <v>-3216.0096157997323</v>
      </c>
    </row>
    <row r="1444" spans="1:2" x14ac:dyDescent="0.2">
      <c r="A1444">
        <v>-4612.2278768468532</v>
      </c>
      <c r="B1444">
        <v>-3215.0444480750593</v>
      </c>
    </row>
    <row r="1445" spans="1:2" x14ac:dyDescent="0.2">
      <c r="A1445">
        <v>7861.7032628461893</v>
      </c>
      <c r="B1445">
        <v>-3210.9936972293654</v>
      </c>
    </row>
    <row r="1446" spans="1:2" x14ac:dyDescent="0.2">
      <c r="A1446">
        <v>1713.5450038661365</v>
      </c>
      <c r="B1446">
        <v>-3199.4534848069598</v>
      </c>
    </row>
    <row r="1447" spans="1:2" x14ac:dyDescent="0.2">
      <c r="A1447">
        <v>10067.409568667121</v>
      </c>
      <c r="B1447">
        <v>-3195.8453424563049</v>
      </c>
    </row>
    <row r="1448" spans="1:2" x14ac:dyDescent="0.2">
      <c r="A1448">
        <v>6346.9002661042468</v>
      </c>
      <c r="B1448">
        <v>-3179.6003041230142</v>
      </c>
    </row>
    <row r="1449" spans="1:2" x14ac:dyDescent="0.2">
      <c r="A1449">
        <v>4357.4367803917557</v>
      </c>
      <c r="B1449">
        <v>-3171.4690730168659</v>
      </c>
    </row>
    <row r="1450" spans="1:2" x14ac:dyDescent="0.2">
      <c r="A1450">
        <v>-32624.461803530343</v>
      </c>
      <c r="B1450">
        <v>-3166.5714262753609</v>
      </c>
    </row>
    <row r="1451" spans="1:2" x14ac:dyDescent="0.2">
      <c r="A1451">
        <v>-2981.8747376062674</v>
      </c>
      <c r="B1451">
        <v>-3156.8201055013342</v>
      </c>
    </row>
    <row r="1452" spans="1:2" x14ac:dyDescent="0.2">
      <c r="A1452">
        <v>10529.906179448008</v>
      </c>
      <c r="B1452">
        <v>-3156.4534924406908</v>
      </c>
    </row>
    <row r="1453" spans="1:2" x14ac:dyDescent="0.2">
      <c r="A1453">
        <v>-12536.729522072361</v>
      </c>
      <c r="B1453">
        <v>-3154.2456616902491</v>
      </c>
    </row>
    <row r="1454" spans="1:2" x14ac:dyDescent="0.2">
      <c r="A1454">
        <v>-11438.934676709934</v>
      </c>
      <c r="B1454">
        <v>-3147.4168013782182</v>
      </c>
    </row>
    <row r="1455" spans="1:2" x14ac:dyDescent="0.2">
      <c r="A1455">
        <v>-3897.3487712317728</v>
      </c>
      <c r="B1455">
        <v>-3144.6115814978839</v>
      </c>
    </row>
    <row r="1456" spans="1:2" x14ac:dyDescent="0.2">
      <c r="A1456">
        <v>8813.446357663488</v>
      </c>
      <c r="B1456">
        <v>-3141.3649063302437</v>
      </c>
    </row>
    <row r="1457" spans="1:2" x14ac:dyDescent="0.2">
      <c r="A1457">
        <v>-8440.621296274825</v>
      </c>
      <c r="B1457">
        <v>-3139.0550082739792</v>
      </c>
    </row>
    <row r="1458" spans="1:2" x14ac:dyDescent="0.2">
      <c r="A1458">
        <v>3682.085783154238</v>
      </c>
      <c r="B1458">
        <v>-3130.1209636270069</v>
      </c>
    </row>
    <row r="1459" spans="1:2" x14ac:dyDescent="0.2">
      <c r="A1459">
        <v>-7611.7296693814278</v>
      </c>
      <c r="B1459">
        <v>-3124.7232264362974</v>
      </c>
    </row>
    <row r="1460" spans="1:2" x14ac:dyDescent="0.2">
      <c r="A1460">
        <v>-1022.8878732115845</v>
      </c>
      <c r="B1460">
        <v>-3124.1236302164325</v>
      </c>
    </row>
    <row r="1461" spans="1:2" x14ac:dyDescent="0.2">
      <c r="A1461">
        <v>-11893.284910503251</v>
      </c>
      <c r="B1461">
        <v>-3123.3625986287952</v>
      </c>
    </row>
    <row r="1462" spans="1:2" x14ac:dyDescent="0.2">
      <c r="A1462">
        <v>-3324.5569890437764</v>
      </c>
      <c r="B1462">
        <v>-3116.4448708326672</v>
      </c>
    </row>
    <row r="1463" spans="1:2" x14ac:dyDescent="0.2">
      <c r="A1463">
        <v>2778.4524216735444</v>
      </c>
      <c r="B1463">
        <v>-3112.1737493528053</v>
      </c>
    </row>
    <row r="1464" spans="1:2" x14ac:dyDescent="0.2">
      <c r="A1464">
        <v>-10904.272409592581</v>
      </c>
      <c r="B1464">
        <v>-3110.7836773958988</v>
      </c>
    </row>
    <row r="1465" spans="1:2" x14ac:dyDescent="0.2">
      <c r="A1465">
        <v>-3879.3593981521553</v>
      </c>
      <c r="B1465">
        <v>-3107.527501611039</v>
      </c>
    </row>
    <row r="1466" spans="1:2" x14ac:dyDescent="0.2">
      <c r="A1466">
        <v>7770.2078668723698</v>
      </c>
      <c r="B1466">
        <v>-3102.5451187065046</v>
      </c>
    </row>
    <row r="1467" spans="1:2" x14ac:dyDescent="0.2">
      <c r="A1467">
        <v>-24096.638690134685</v>
      </c>
      <c r="B1467">
        <v>-3102.2871643162798</v>
      </c>
    </row>
    <row r="1468" spans="1:2" x14ac:dyDescent="0.2">
      <c r="A1468">
        <v>18217.922396216774</v>
      </c>
      <c r="B1468">
        <v>-3098.4619170376391</v>
      </c>
    </row>
    <row r="1469" spans="1:2" x14ac:dyDescent="0.2">
      <c r="A1469">
        <v>13036.005599166092</v>
      </c>
      <c r="B1469">
        <v>-3090.2850509771379</v>
      </c>
    </row>
    <row r="1470" spans="1:2" x14ac:dyDescent="0.2">
      <c r="A1470">
        <v>-16833.9873424283</v>
      </c>
      <c r="B1470">
        <v>-3089.560142651666</v>
      </c>
    </row>
    <row r="1471" spans="1:2" x14ac:dyDescent="0.2">
      <c r="A1471">
        <v>7795.4856055614364</v>
      </c>
      <c r="B1471">
        <v>-3088.8549145758443</v>
      </c>
    </row>
    <row r="1472" spans="1:2" x14ac:dyDescent="0.2">
      <c r="A1472">
        <v>1566.6840248843073</v>
      </c>
      <c r="B1472">
        <v>-3085.5186129916692</v>
      </c>
    </row>
    <row r="1473" spans="1:2" x14ac:dyDescent="0.2">
      <c r="A1473">
        <v>-1732.3757642693236</v>
      </c>
      <c r="B1473">
        <v>-3084.2020148246083</v>
      </c>
    </row>
    <row r="1474" spans="1:2" x14ac:dyDescent="0.2">
      <c r="A1474">
        <v>20902.527920810855</v>
      </c>
      <c r="B1474">
        <v>-3072.300790136971</v>
      </c>
    </row>
    <row r="1475" spans="1:2" x14ac:dyDescent="0.2">
      <c r="A1475">
        <v>-16650.807006776537</v>
      </c>
      <c r="B1475">
        <v>-3072.1321249692992</v>
      </c>
    </row>
    <row r="1476" spans="1:2" x14ac:dyDescent="0.2">
      <c r="A1476">
        <v>-11866.045984786702</v>
      </c>
      <c r="B1476">
        <v>-3070.3515646143351</v>
      </c>
    </row>
    <row r="1477" spans="1:2" x14ac:dyDescent="0.2">
      <c r="A1477">
        <v>-7571.7102532239223</v>
      </c>
      <c r="B1477">
        <v>-3069.0354224295588</v>
      </c>
    </row>
    <row r="1478" spans="1:2" x14ac:dyDescent="0.2">
      <c r="A1478">
        <v>-3228.9913239195012</v>
      </c>
      <c r="B1478">
        <v>-3067.9984086744662</v>
      </c>
    </row>
    <row r="1479" spans="1:2" x14ac:dyDescent="0.2">
      <c r="A1479">
        <v>-1795.8589983668062</v>
      </c>
      <c r="B1479">
        <v>-3051.3861084347009</v>
      </c>
    </row>
    <row r="1480" spans="1:2" x14ac:dyDescent="0.2">
      <c r="A1480">
        <v>18.75003826757893</v>
      </c>
      <c r="B1480">
        <v>-3051.2515689065913</v>
      </c>
    </row>
    <row r="1481" spans="1:2" x14ac:dyDescent="0.2">
      <c r="A1481">
        <v>14790.240573882387</v>
      </c>
      <c r="B1481">
        <v>-3040.3444284010038</v>
      </c>
    </row>
    <row r="1482" spans="1:2" x14ac:dyDescent="0.2">
      <c r="A1482">
        <v>-17093.647084221127</v>
      </c>
      <c r="B1482">
        <v>-3037.9744665979524</v>
      </c>
    </row>
    <row r="1483" spans="1:2" x14ac:dyDescent="0.2">
      <c r="A1483">
        <v>12750.117983964185</v>
      </c>
      <c r="B1483">
        <v>-3029.8784708175808</v>
      </c>
    </row>
    <row r="1484" spans="1:2" x14ac:dyDescent="0.2">
      <c r="A1484">
        <v>15699.872657878412</v>
      </c>
      <c r="B1484">
        <v>-3028.6310753114522</v>
      </c>
    </row>
    <row r="1485" spans="1:2" x14ac:dyDescent="0.2">
      <c r="A1485">
        <v>-8344.5983209526166</v>
      </c>
      <c r="B1485">
        <v>-3027.6923417641665</v>
      </c>
    </row>
    <row r="1486" spans="1:2" x14ac:dyDescent="0.2">
      <c r="A1486">
        <v>6690.9516324967262</v>
      </c>
      <c r="B1486">
        <v>-3027.1203662028129</v>
      </c>
    </row>
    <row r="1487" spans="1:2" x14ac:dyDescent="0.2">
      <c r="A1487">
        <v>-23580.948676352855</v>
      </c>
      <c r="B1487">
        <v>-3019.5046452679962</v>
      </c>
    </row>
    <row r="1488" spans="1:2" x14ac:dyDescent="0.2">
      <c r="A1488">
        <v>-12792.744654157548</v>
      </c>
      <c r="B1488">
        <v>-3018.8824676126969</v>
      </c>
    </row>
    <row r="1489" spans="1:2" x14ac:dyDescent="0.2">
      <c r="A1489">
        <v>-9053.3794803638593</v>
      </c>
      <c r="B1489">
        <v>-3015.9509438772511</v>
      </c>
    </row>
    <row r="1490" spans="1:2" x14ac:dyDescent="0.2">
      <c r="A1490">
        <v>8755.156788589491</v>
      </c>
      <c r="B1490">
        <v>-2989.8739819779876</v>
      </c>
    </row>
    <row r="1491" spans="1:2" x14ac:dyDescent="0.2">
      <c r="A1491">
        <v>2817.4931321338809</v>
      </c>
      <c r="B1491">
        <v>-2981.8747376062674</v>
      </c>
    </row>
    <row r="1492" spans="1:2" x14ac:dyDescent="0.2">
      <c r="A1492">
        <v>3243.7518555446877</v>
      </c>
      <c r="B1492">
        <v>-2966.5391894794884</v>
      </c>
    </row>
    <row r="1493" spans="1:2" x14ac:dyDescent="0.2">
      <c r="A1493">
        <v>-1930.233996417388</v>
      </c>
      <c r="B1493">
        <v>-2957.1348738293455</v>
      </c>
    </row>
    <row r="1494" spans="1:2" x14ac:dyDescent="0.2">
      <c r="A1494">
        <v>8818.8699698845448</v>
      </c>
      <c r="B1494">
        <v>-2947.4854991225875</v>
      </c>
    </row>
    <row r="1495" spans="1:2" x14ac:dyDescent="0.2">
      <c r="A1495">
        <v>-6160.2066849186085</v>
      </c>
      <c r="B1495">
        <v>-2947.2301142442739</v>
      </c>
    </row>
    <row r="1496" spans="1:2" x14ac:dyDescent="0.2">
      <c r="A1496">
        <v>12359.299254860292</v>
      </c>
      <c r="B1496">
        <v>-2944.3744903336046</v>
      </c>
    </row>
    <row r="1497" spans="1:2" x14ac:dyDescent="0.2">
      <c r="A1497">
        <v>8326.1211779777659</v>
      </c>
      <c r="B1497">
        <v>-2939.662489530805</v>
      </c>
    </row>
    <row r="1498" spans="1:2" x14ac:dyDescent="0.2">
      <c r="A1498">
        <v>7365.796541173564</v>
      </c>
      <c r="B1498">
        <v>-2938.7295392904198</v>
      </c>
    </row>
    <row r="1499" spans="1:2" x14ac:dyDescent="0.2">
      <c r="A1499">
        <v>-1126.0961888294551</v>
      </c>
      <c r="B1499">
        <v>-2929.9395508290618</v>
      </c>
    </row>
    <row r="1500" spans="1:2" x14ac:dyDescent="0.2">
      <c r="A1500">
        <v>5828.4758065125789</v>
      </c>
      <c r="B1500">
        <v>-2929.24579187372</v>
      </c>
    </row>
    <row r="1501" spans="1:2" x14ac:dyDescent="0.2">
      <c r="A1501">
        <v>18214.215290351422</v>
      </c>
      <c r="B1501">
        <v>-2929.0407105778577</v>
      </c>
    </row>
    <row r="1502" spans="1:2" x14ac:dyDescent="0.2">
      <c r="A1502">
        <v>7776.3246952330519</v>
      </c>
      <c r="B1502">
        <v>-2928.2536039727565</v>
      </c>
    </row>
    <row r="1503" spans="1:2" x14ac:dyDescent="0.2">
      <c r="A1503">
        <v>-26161.270279863209</v>
      </c>
      <c r="B1503">
        <v>-2922.1640503550734</v>
      </c>
    </row>
    <row r="1504" spans="1:2" x14ac:dyDescent="0.2">
      <c r="A1504">
        <v>22548.173590784951</v>
      </c>
      <c r="B1504">
        <v>-2913.0942292816471</v>
      </c>
    </row>
    <row r="1505" spans="1:2" x14ac:dyDescent="0.2">
      <c r="A1505">
        <v>5977.9461182747618</v>
      </c>
      <c r="B1505">
        <v>-2912.9927162838867</v>
      </c>
    </row>
    <row r="1506" spans="1:2" x14ac:dyDescent="0.2">
      <c r="A1506">
        <v>-16927.854951564572</v>
      </c>
      <c r="B1506">
        <v>-2911.4959598238056</v>
      </c>
    </row>
    <row r="1507" spans="1:2" x14ac:dyDescent="0.2">
      <c r="A1507">
        <v>-7746.0144536560692</v>
      </c>
      <c r="B1507">
        <v>-2911.2706881490012</v>
      </c>
    </row>
    <row r="1508" spans="1:2" x14ac:dyDescent="0.2">
      <c r="A1508">
        <v>11383.401149712794</v>
      </c>
      <c r="B1508">
        <v>-2910.1076594687474</v>
      </c>
    </row>
    <row r="1509" spans="1:2" x14ac:dyDescent="0.2">
      <c r="A1509">
        <v>-1742.7572090791073</v>
      </c>
      <c r="B1509">
        <v>-2908.2800577729067</v>
      </c>
    </row>
    <row r="1510" spans="1:2" x14ac:dyDescent="0.2">
      <c r="A1510">
        <v>1387.0794194864575</v>
      </c>
      <c r="B1510">
        <v>-2898.51206788735</v>
      </c>
    </row>
    <row r="1511" spans="1:2" x14ac:dyDescent="0.2">
      <c r="A1511">
        <v>-3759.6603030616534</v>
      </c>
      <c r="B1511">
        <v>-2895.1653914882336</v>
      </c>
    </row>
    <row r="1512" spans="1:2" x14ac:dyDescent="0.2">
      <c r="A1512">
        <v>4472.8468730113236</v>
      </c>
      <c r="B1512">
        <v>-2885.7110952371149</v>
      </c>
    </row>
    <row r="1513" spans="1:2" x14ac:dyDescent="0.2">
      <c r="A1513">
        <v>-1191.6605568104133</v>
      </c>
      <c r="B1513">
        <v>-2883.1129829558777</v>
      </c>
    </row>
    <row r="1514" spans="1:2" x14ac:dyDescent="0.2">
      <c r="A1514">
        <v>-11361.061435711395</v>
      </c>
      <c r="B1514">
        <v>-2875.3261887278641</v>
      </c>
    </row>
    <row r="1515" spans="1:2" x14ac:dyDescent="0.2">
      <c r="A1515">
        <v>-4520.6155226432602</v>
      </c>
      <c r="B1515">
        <v>-2868.6789595389564</v>
      </c>
    </row>
    <row r="1516" spans="1:2" x14ac:dyDescent="0.2">
      <c r="A1516">
        <v>11325.409800278692</v>
      </c>
      <c r="B1516">
        <v>-2864.6095530271414</v>
      </c>
    </row>
    <row r="1517" spans="1:2" x14ac:dyDescent="0.2">
      <c r="A1517">
        <v>4119.9267419994576</v>
      </c>
      <c r="B1517">
        <v>-2841.5598579704238</v>
      </c>
    </row>
    <row r="1518" spans="1:2" x14ac:dyDescent="0.2">
      <c r="A1518">
        <v>-12048.915123010345</v>
      </c>
      <c r="B1518">
        <v>-2841.2994852708653</v>
      </c>
    </row>
    <row r="1519" spans="1:2" x14ac:dyDescent="0.2">
      <c r="A1519">
        <v>-6931.3719156473526</v>
      </c>
      <c r="B1519">
        <v>-2832.2453870895552</v>
      </c>
    </row>
    <row r="1520" spans="1:2" x14ac:dyDescent="0.2">
      <c r="A1520">
        <v>-18923.378447002848</v>
      </c>
      <c r="B1520">
        <v>-2831.5720333690406</v>
      </c>
    </row>
    <row r="1521" spans="1:2" x14ac:dyDescent="0.2">
      <c r="A1521">
        <v>199.24670986476121</v>
      </c>
      <c r="B1521">
        <v>-2827.4690835658694</v>
      </c>
    </row>
    <row r="1522" spans="1:2" x14ac:dyDescent="0.2">
      <c r="A1522">
        <v>6506.339949406829</v>
      </c>
      <c r="B1522">
        <v>-2824.4796782076301</v>
      </c>
    </row>
    <row r="1523" spans="1:2" x14ac:dyDescent="0.2">
      <c r="A1523">
        <v>24568.866527725884</v>
      </c>
      <c r="B1523">
        <v>-2818.8433848395071</v>
      </c>
    </row>
    <row r="1524" spans="1:2" x14ac:dyDescent="0.2">
      <c r="A1524">
        <v>7913.7061268865073</v>
      </c>
      <c r="B1524">
        <v>-2818.1205951177981</v>
      </c>
    </row>
    <row r="1525" spans="1:2" x14ac:dyDescent="0.2">
      <c r="A1525">
        <v>-1719.7049353717011</v>
      </c>
      <c r="B1525">
        <v>-2813.1759880956961</v>
      </c>
    </row>
    <row r="1526" spans="1:2" x14ac:dyDescent="0.2">
      <c r="A1526">
        <v>13095.830680928484</v>
      </c>
      <c r="B1526">
        <v>-2812.3277713218122</v>
      </c>
    </row>
    <row r="1527" spans="1:2" x14ac:dyDescent="0.2">
      <c r="A1527">
        <v>-10466.688496623421</v>
      </c>
      <c r="B1527">
        <v>-2784.6386984261335</v>
      </c>
    </row>
    <row r="1528" spans="1:2" x14ac:dyDescent="0.2">
      <c r="A1528">
        <v>1441.458369141008</v>
      </c>
      <c r="B1528">
        <v>-2775.6684686999943</v>
      </c>
    </row>
    <row r="1529" spans="1:2" x14ac:dyDescent="0.2">
      <c r="A1529">
        <v>4433.177541455545</v>
      </c>
      <c r="B1529">
        <v>-2773.6723702454474</v>
      </c>
    </row>
    <row r="1530" spans="1:2" x14ac:dyDescent="0.2">
      <c r="A1530">
        <v>464.52842032222543</v>
      </c>
      <c r="B1530">
        <v>-2755.1410097570624</v>
      </c>
    </row>
    <row r="1531" spans="1:2" x14ac:dyDescent="0.2">
      <c r="A1531">
        <v>5808.1919212693465</v>
      </c>
      <c r="B1531">
        <v>-2752.5566804156115</v>
      </c>
    </row>
    <row r="1532" spans="1:2" x14ac:dyDescent="0.2">
      <c r="A1532">
        <v>5024.4242157190165</v>
      </c>
      <c r="B1532">
        <v>-2743.3659387380467</v>
      </c>
    </row>
    <row r="1533" spans="1:2" x14ac:dyDescent="0.2">
      <c r="A1533">
        <v>5344.2218995069852</v>
      </c>
      <c r="B1533">
        <v>-2734.7476108174305</v>
      </c>
    </row>
    <row r="1534" spans="1:2" x14ac:dyDescent="0.2">
      <c r="A1534">
        <v>-331.60935730824713</v>
      </c>
      <c r="B1534">
        <v>-2731.4032376349205</v>
      </c>
    </row>
    <row r="1535" spans="1:2" x14ac:dyDescent="0.2">
      <c r="A1535">
        <v>19324.28403636138</v>
      </c>
      <c r="B1535">
        <v>-2725.9058966739103</v>
      </c>
    </row>
    <row r="1536" spans="1:2" x14ac:dyDescent="0.2">
      <c r="A1536">
        <v>-13982.507919271942</v>
      </c>
      <c r="B1536">
        <v>-2724.6364312462974</v>
      </c>
    </row>
    <row r="1537" spans="1:2" x14ac:dyDescent="0.2">
      <c r="A1537">
        <v>-1680.3869196208543</v>
      </c>
      <c r="B1537">
        <v>-2724.271591393539</v>
      </c>
    </row>
    <row r="1538" spans="1:2" x14ac:dyDescent="0.2">
      <c r="A1538">
        <v>3259.9838631822786</v>
      </c>
      <c r="B1538">
        <v>-2718.1170513345278</v>
      </c>
    </row>
    <row r="1539" spans="1:2" x14ac:dyDescent="0.2">
      <c r="A1539">
        <v>2691.1874510070775</v>
      </c>
      <c r="B1539">
        <v>-2706.0486975530803</v>
      </c>
    </row>
    <row r="1540" spans="1:2" x14ac:dyDescent="0.2">
      <c r="A1540">
        <v>12070.566411763197</v>
      </c>
      <c r="B1540">
        <v>-2703.1935987285979</v>
      </c>
    </row>
    <row r="1541" spans="1:2" x14ac:dyDescent="0.2">
      <c r="A1541">
        <v>12070.776155484375</v>
      </c>
      <c r="B1541">
        <v>-2702.6498947181972</v>
      </c>
    </row>
    <row r="1542" spans="1:2" x14ac:dyDescent="0.2">
      <c r="A1542">
        <v>22373.320905236411</v>
      </c>
      <c r="B1542">
        <v>-2699.432884429465</v>
      </c>
    </row>
    <row r="1543" spans="1:2" x14ac:dyDescent="0.2">
      <c r="A1543">
        <v>12432.809695938529</v>
      </c>
      <c r="B1543">
        <v>-2695.4706039435696</v>
      </c>
    </row>
    <row r="1544" spans="1:2" x14ac:dyDescent="0.2">
      <c r="A1544">
        <v>1535.2634986868652</v>
      </c>
      <c r="B1544">
        <v>-2686.6646063389489</v>
      </c>
    </row>
    <row r="1545" spans="1:2" x14ac:dyDescent="0.2">
      <c r="A1545">
        <v>1446.957822798795</v>
      </c>
      <c r="B1545">
        <v>-2682.7266383194656</v>
      </c>
    </row>
    <row r="1546" spans="1:2" x14ac:dyDescent="0.2">
      <c r="A1546">
        <v>11029.919438263285</v>
      </c>
      <c r="B1546">
        <v>-2656.7751560958568</v>
      </c>
    </row>
    <row r="1547" spans="1:2" x14ac:dyDescent="0.2">
      <c r="A1547">
        <v>5215.4481573590019</v>
      </c>
      <c r="B1547">
        <v>-2654.5007167941658</v>
      </c>
    </row>
    <row r="1548" spans="1:2" x14ac:dyDescent="0.2">
      <c r="A1548">
        <v>20103.138565805741</v>
      </c>
      <c r="B1548">
        <v>-2626.7001104110968</v>
      </c>
    </row>
    <row r="1549" spans="1:2" x14ac:dyDescent="0.2">
      <c r="A1549">
        <v>-12201.911073438969</v>
      </c>
      <c r="B1549">
        <v>-2617.5030156670546</v>
      </c>
    </row>
    <row r="1550" spans="1:2" x14ac:dyDescent="0.2">
      <c r="A1550">
        <v>-7524.2894787814876</v>
      </c>
      <c r="B1550">
        <v>-2617.1573449918069</v>
      </c>
    </row>
    <row r="1551" spans="1:2" x14ac:dyDescent="0.2">
      <c r="A1551">
        <v>18105.209608820267</v>
      </c>
      <c r="B1551">
        <v>-2615.8535750505689</v>
      </c>
    </row>
    <row r="1552" spans="1:2" x14ac:dyDescent="0.2">
      <c r="A1552">
        <v>5157.8954792957811</v>
      </c>
      <c r="B1552">
        <v>-2604.3677687587333</v>
      </c>
    </row>
    <row r="1553" spans="1:2" x14ac:dyDescent="0.2">
      <c r="A1553">
        <v>-12663.658357929264</v>
      </c>
      <c r="B1553">
        <v>-2598.549470070895</v>
      </c>
    </row>
    <row r="1554" spans="1:2" x14ac:dyDescent="0.2">
      <c r="A1554">
        <v>1282.322221320559</v>
      </c>
      <c r="B1554">
        <v>-2590.0638412700209</v>
      </c>
    </row>
    <row r="1555" spans="1:2" x14ac:dyDescent="0.2">
      <c r="A1555">
        <v>4443.2243479489989</v>
      </c>
      <c r="B1555">
        <v>-2589.4576805062825</v>
      </c>
    </row>
    <row r="1556" spans="1:2" x14ac:dyDescent="0.2">
      <c r="A1556">
        <v>3329.2412350100058</v>
      </c>
      <c r="B1556">
        <v>-2587.2378456185979</v>
      </c>
    </row>
    <row r="1557" spans="1:2" x14ac:dyDescent="0.2">
      <c r="A1557">
        <v>13617.878521640378</v>
      </c>
      <c r="B1557">
        <v>-2586.2197755526286</v>
      </c>
    </row>
    <row r="1558" spans="1:2" x14ac:dyDescent="0.2">
      <c r="A1558">
        <v>-3739.2292887843505</v>
      </c>
      <c r="B1558">
        <v>-2586.123130392516</v>
      </c>
    </row>
    <row r="1559" spans="1:2" x14ac:dyDescent="0.2">
      <c r="A1559">
        <v>-11908.47533919313</v>
      </c>
      <c r="B1559">
        <v>-2583.3852837887243</v>
      </c>
    </row>
    <row r="1560" spans="1:2" x14ac:dyDescent="0.2">
      <c r="A1560">
        <v>186.59823323774617</v>
      </c>
      <c r="B1560">
        <v>-2581.9460263654764</v>
      </c>
    </row>
    <row r="1561" spans="1:2" x14ac:dyDescent="0.2">
      <c r="A1561">
        <v>-11336.343688307679</v>
      </c>
      <c r="B1561">
        <v>-2573.8265735866153</v>
      </c>
    </row>
    <row r="1562" spans="1:2" x14ac:dyDescent="0.2">
      <c r="A1562">
        <v>-6278.3516271223198</v>
      </c>
      <c r="B1562">
        <v>-2569.8907973801834</v>
      </c>
    </row>
    <row r="1563" spans="1:2" x14ac:dyDescent="0.2">
      <c r="A1563">
        <v>-5401.7355433408229</v>
      </c>
      <c r="B1563">
        <v>-2568.63003060763</v>
      </c>
    </row>
    <row r="1564" spans="1:2" x14ac:dyDescent="0.2">
      <c r="A1564">
        <v>8632.9228352915088</v>
      </c>
      <c r="B1564">
        <v>-2552.0629189233878</v>
      </c>
    </row>
    <row r="1565" spans="1:2" x14ac:dyDescent="0.2">
      <c r="A1565">
        <v>16959.435619369091</v>
      </c>
      <c r="B1565">
        <v>-2547.5351212777023</v>
      </c>
    </row>
    <row r="1566" spans="1:2" x14ac:dyDescent="0.2">
      <c r="A1566">
        <v>12447.920062338817</v>
      </c>
      <c r="B1566">
        <v>-2543.4159569320909</v>
      </c>
    </row>
    <row r="1567" spans="1:2" x14ac:dyDescent="0.2">
      <c r="A1567">
        <v>2640.9989681168227</v>
      </c>
      <c r="B1567">
        <v>-2539.3857450307114</v>
      </c>
    </row>
    <row r="1568" spans="1:2" x14ac:dyDescent="0.2">
      <c r="A1568">
        <v>5789.7210010620183</v>
      </c>
      <c r="B1568">
        <v>-2535.2110951131035</v>
      </c>
    </row>
    <row r="1569" spans="1:2" x14ac:dyDescent="0.2">
      <c r="A1569">
        <v>2283.9883466647589</v>
      </c>
      <c r="B1569">
        <v>-2531.8597139727499</v>
      </c>
    </row>
    <row r="1570" spans="1:2" x14ac:dyDescent="0.2">
      <c r="A1570">
        <v>899.07782130478881</v>
      </c>
      <c r="B1570">
        <v>-2531.4696309517021</v>
      </c>
    </row>
    <row r="1571" spans="1:2" x14ac:dyDescent="0.2">
      <c r="A1571">
        <v>8197.0474386658752</v>
      </c>
      <c r="B1571">
        <v>-2527.4581374367408</v>
      </c>
    </row>
    <row r="1572" spans="1:2" x14ac:dyDescent="0.2">
      <c r="A1572">
        <v>13.212278194638202</v>
      </c>
      <c r="B1572">
        <v>-2524.1105124665482</v>
      </c>
    </row>
    <row r="1573" spans="1:2" x14ac:dyDescent="0.2">
      <c r="A1573">
        <v>15100.831629416527</v>
      </c>
      <c r="B1573">
        <v>-2516.7793282489292</v>
      </c>
    </row>
    <row r="1574" spans="1:2" x14ac:dyDescent="0.2">
      <c r="A1574">
        <v>-15858.499764410371</v>
      </c>
      <c r="B1574">
        <v>-2502.9268818275887</v>
      </c>
    </row>
    <row r="1575" spans="1:2" x14ac:dyDescent="0.2">
      <c r="A1575">
        <v>884.59903309401125</v>
      </c>
      <c r="B1575">
        <v>-2502.5549908502726</v>
      </c>
    </row>
    <row r="1576" spans="1:2" x14ac:dyDescent="0.2">
      <c r="A1576">
        <v>9865.9179451963282</v>
      </c>
      <c r="B1576">
        <v>-2496.3053971020272</v>
      </c>
    </row>
    <row r="1577" spans="1:2" x14ac:dyDescent="0.2">
      <c r="A1577">
        <v>4415.9028911159257</v>
      </c>
      <c r="B1577">
        <v>-2495.5922177913599</v>
      </c>
    </row>
    <row r="1578" spans="1:2" x14ac:dyDescent="0.2">
      <c r="A1578">
        <v>-7703.4046364765381</v>
      </c>
      <c r="B1578">
        <v>-2483.804829498491</v>
      </c>
    </row>
    <row r="1579" spans="1:2" x14ac:dyDescent="0.2">
      <c r="A1579">
        <v>16552.410438195948</v>
      </c>
      <c r="B1579">
        <v>-2471.910751638643</v>
      </c>
    </row>
    <row r="1580" spans="1:2" x14ac:dyDescent="0.2">
      <c r="A1580">
        <v>6950.9714363813982</v>
      </c>
      <c r="B1580">
        <v>-2465.5074586030096</v>
      </c>
    </row>
    <row r="1581" spans="1:2" x14ac:dyDescent="0.2">
      <c r="A1581">
        <v>-27615.445296805701</v>
      </c>
      <c r="B1581">
        <v>-2459.9744982116099</v>
      </c>
    </row>
    <row r="1582" spans="1:2" x14ac:dyDescent="0.2">
      <c r="A1582">
        <v>347.30857869726606</v>
      </c>
      <c r="B1582">
        <v>-2459.3093090870534</v>
      </c>
    </row>
    <row r="1583" spans="1:2" x14ac:dyDescent="0.2">
      <c r="A1583">
        <v>17742.420724404335</v>
      </c>
      <c r="B1583">
        <v>-2457.9747114412021</v>
      </c>
    </row>
    <row r="1584" spans="1:2" x14ac:dyDescent="0.2">
      <c r="A1584">
        <v>10663.631965130277</v>
      </c>
      <c r="B1584">
        <v>-2455.7168949777842</v>
      </c>
    </row>
    <row r="1585" spans="1:2" x14ac:dyDescent="0.2">
      <c r="A1585">
        <v>-7699.61113107446</v>
      </c>
      <c r="B1585">
        <v>-2447.099024915311</v>
      </c>
    </row>
    <row r="1586" spans="1:2" x14ac:dyDescent="0.2">
      <c r="A1586">
        <v>12896.100370939705</v>
      </c>
      <c r="B1586">
        <v>-2436.3901297171251</v>
      </c>
    </row>
    <row r="1587" spans="1:2" x14ac:dyDescent="0.2">
      <c r="A1587">
        <v>3301.2553635581571</v>
      </c>
      <c r="B1587">
        <v>-2429.6553975498246</v>
      </c>
    </row>
    <row r="1588" spans="1:2" x14ac:dyDescent="0.2">
      <c r="A1588">
        <v>-9459.3987597250089</v>
      </c>
      <c r="B1588">
        <v>-2426.2674235859304</v>
      </c>
    </row>
    <row r="1589" spans="1:2" x14ac:dyDescent="0.2">
      <c r="A1589">
        <v>803.58895970950834</v>
      </c>
      <c r="B1589">
        <v>-2425.4853427803901</v>
      </c>
    </row>
    <row r="1590" spans="1:2" x14ac:dyDescent="0.2">
      <c r="A1590">
        <v>6378.0283543259138</v>
      </c>
      <c r="B1590">
        <v>-2399.6263188793091</v>
      </c>
    </row>
    <row r="1591" spans="1:2" x14ac:dyDescent="0.2">
      <c r="A1591">
        <v>3955.9307052751537</v>
      </c>
      <c r="B1591">
        <v>-2399.3480182680069</v>
      </c>
    </row>
    <row r="1592" spans="1:2" x14ac:dyDescent="0.2">
      <c r="A1592">
        <v>17580.889139895386</v>
      </c>
      <c r="B1592">
        <v>-2392.9701104993292</v>
      </c>
    </row>
    <row r="1593" spans="1:2" x14ac:dyDescent="0.2">
      <c r="A1593">
        <v>-4674.6358738162089</v>
      </c>
      <c r="B1593">
        <v>-2385.6470583730261</v>
      </c>
    </row>
    <row r="1594" spans="1:2" x14ac:dyDescent="0.2">
      <c r="A1594">
        <v>-7939.4881157886703</v>
      </c>
      <c r="B1594">
        <v>-2381.1106060181628</v>
      </c>
    </row>
    <row r="1595" spans="1:2" x14ac:dyDescent="0.2">
      <c r="A1595">
        <v>21556.085004803026</v>
      </c>
      <c r="B1595">
        <v>-2375.0179864921374</v>
      </c>
    </row>
    <row r="1596" spans="1:2" x14ac:dyDescent="0.2">
      <c r="A1596">
        <v>3632.7823410023702</v>
      </c>
      <c r="B1596">
        <v>-2363.1627861431334</v>
      </c>
    </row>
    <row r="1597" spans="1:2" x14ac:dyDescent="0.2">
      <c r="A1597">
        <v>-2818.8433848395071</v>
      </c>
      <c r="B1597">
        <v>-2361.1330693014315</v>
      </c>
    </row>
    <row r="1598" spans="1:2" x14ac:dyDescent="0.2">
      <c r="A1598">
        <v>10371.683064700221</v>
      </c>
      <c r="B1598">
        <v>-2345.2483969120076</v>
      </c>
    </row>
    <row r="1599" spans="1:2" x14ac:dyDescent="0.2">
      <c r="A1599">
        <v>-2345.2483969120076</v>
      </c>
      <c r="B1599">
        <v>-2341.5703687765345</v>
      </c>
    </row>
    <row r="1600" spans="1:2" x14ac:dyDescent="0.2">
      <c r="A1600">
        <v>4555.4652949604497</v>
      </c>
      <c r="B1600">
        <v>-2332.1588915017201</v>
      </c>
    </row>
    <row r="1601" spans="1:2" x14ac:dyDescent="0.2">
      <c r="A1601">
        <v>-30.92167019948829</v>
      </c>
      <c r="B1601">
        <v>-2331.4983878477069</v>
      </c>
    </row>
    <row r="1602" spans="1:2" x14ac:dyDescent="0.2">
      <c r="A1602">
        <v>5091.2242811503529</v>
      </c>
      <c r="B1602">
        <v>-2330.283269856649</v>
      </c>
    </row>
    <row r="1603" spans="1:2" x14ac:dyDescent="0.2">
      <c r="A1603">
        <v>-1309.4106291841599</v>
      </c>
      <c r="B1603">
        <v>-2329.2264357521781</v>
      </c>
    </row>
    <row r="1604" spans="1:2" x14ac:dyDescent="0.2">
      <c r="A1604">
        <v>-3243.6177045206423</v>
      </c>
      <c r="B1604">
        <v>-2317.0134682030766</v>
      </c>
    </row>
    <row r="1605" spans="1:2" x14ac:dyDescent="0.2">
      <c r="A1605">
        <v>1202.7211589355429</v>
      </c>
      <c r="B1605">
        <v>-2316.3120003148215</v>
      </c>
    </row>
    <row r="1606" spans="1:2" x14ac:dyDescent="0.2">
      <c r="A1606">
        <v>-17048.153721407987</v>
      </c>
      <c r="B1606">
        <v>-2313.3044450433808</v>
      </c>
    </row>
    <row r="1607" spans="1:2" x14ac:dyDescent="0.2">
      <c r="A1607">
        <v>1938.0714906175854</v>
      </c>
      <c r="B1607">
        <v>-2308.2215702566318</v>
      </c>
    </row>
    <row r="1608" spans="1:2" x14ac:dyDescent="0.2">
      <c r="A1608">
        <v>101.74116780189797</v>
      </c>
      <c r="B1608">
        <v>-2305.1877400131489</v>
      </c>
    </row>
    <row r="1609" spans="1:2" x14ac:dyDescent="0.2">
      <c r="A1609">
        <v>10289.591066715628</v>
      </c>
      <c r="B1609">
        <v>-2297.0486422993417</v>
      </c>
    </row>
    <row r="1610" spans="1:2" x14ac:dyDescent="0.2">
      <c r="A1610">
        <v>4955.6669967802009</v>
      </c>
      <c r="B1610">
        <v>-2296.690553966735</v>
      </c>
    </row>
    <row r="1611" spans="1:2" x14ac:dyDescent="0.2">
      <c r="A1611">
        <v>-22380.119760171889</v>
      </c>
      <c r="B1611">
        <v>-2289.840295107133</v>
      </c>
    </row>
    <row r="1612" spans="1:2" x14ac:dyDescent="0.2">
      <c r="A1612">
        <v>7736.2712643634586</v>
      </c>
      <c r="B1612">
        <v>-2281.7208208576194</v>
      </c>
    </row>
    <row r="1613" spans="1:2" x14ac:dyDescent="0.2">
      <c r="A1613">
        <v>-3648.187863443949</v>
      </c>
      <c r="B1613">
        <v>-2276.3658348299214</v>
      </c>
    </row>
    <row r="1614" spans="1:2" x14ac:dyDescent="0.2">
      <c r="A1614">
        <v>-7700.4322838195949</v>
      </c>
      <c r="B1614">
        <v>-2272.847657953389</v>
      </c>
    </row>
    <row r="1615" spans="1:2" x14ac:dyDescent="0.2">
      <c r="A1615">
        <v>5343.5046556439484</v>
      </c>
      <c r="B1615">
        <v>-2270.8383909853874</v>
      </c>
    </row>
    <row r="1616" spans="1:2" x14ac:dyDescent="0.2">
      <c r="A1616">
        <v>-1797.8837951018068</v>
      </c>
      <c r="B1616">
        <v>-2268.2736987979733</v>
      </c>
    </row>
    <row r="1617" spans="1:2" x14ac:dyDescent="0.2">
      <c r="A1617">
        <v>10816.598986927042</v>
      </c>
      <c r="B1617">
        <v>-2226.2016355681408</v>
      </c>
    </row>
    <row r="1618" spans="1:2" x14ac:dyDescent="0.2">
      <c r="A1618">
        <v>-25620.105368416989</v>
      </c>
      <c r="B1618">
        <v>-2219.9643582818971</v>
      </c>
    </row>
    <row r="1619" spans="1:2" x14ac:dyDescent="0.2">
      <c r="A1619">
        <v>4807.791598372336</v>
      </c>
      <c r="B1619">
        <v>-2218.7996473997482</v>
      </c>
    </row>
    <row r="1620" spans="1:2" x14ac:dyDescent="0.2">
      <c r="A1620">
        <v>9833.8020764451649</v>
      </c>
      <c r="B1620">
        <v>-2216.3759696124471</v>
      </c>
    </row>
    <row r="1621" spans="1:2" x14ac:dyDescent="0.2">
      <c r="A1621">
        <v>-16593.80440887413</v>
      </c>
      <c r="B1621">
        <v>-2213.5765163199976</v>
      </c>
    </row>
    <row r="1622" spans="1:2" x14ac:dyDescent="0.2">
      <c r="A1622">
        <v>2915.2056664551201</v>
      </c>
      <c r="B1622">
        <v>-2208.4808043566882</v>
      </c>
    </row>
    <row r="1623" spans="1:2" x14ac:dyDescent="0.2">
      <c r="A1623">
        <v>-11183.296702481341</v>
      </c>
      <c r="B1623">
        <v>-2204.5384159774694</v>
      </c>
    </row>
    <row r="1624" spans="1:2" x14ac:dyDescent="0.2">
      <c r="A1624">
        <v>3335.6493909696874</v>
      </c>
      <c r="B1624">
        <v>-2196.3482170737989</v>
      </c>
    </row>
    <row r="1625" spans="1:2" x14ac:dyDescent="0.2">
      <c r="A1625">
        <v>16978.724747590779</v>
      </c>
      <c r="B1625">
        <v>-2191.7595379294944</v>
      </c>
    </row>
    <row r="1626" spans="1:2" x14ac:dyDescent="0.2">
      <c r="A1626">
        <v>6055.3735737384995</v>
      </c>
      <c r="B1626">
        <v>-2190.8008216665476</v>
      </c>
    </row>
    <row r="1627" spans="1:2" x14ac:dyDescent="0.2">
      <c r="A1627">
        <v>6703.4617653467576</v>
      </c>
      <c r="B1627">
        <v>-2188.1798910881625</v>
      </c>
    </row>
    <row r="1628" spans="1:2" x14ac:dyDescent="0.2">
      <c r="A1628">
        <v>-592.02048586771707</v>
      </c>
      <c r="B1628">
        <v>-2180.2454748199962</v>
      </c>
    </row>
    <row r="1629" spans="1:2" x14ac:dyDescent="0.2">
      <c r="A1629">
        <v>-2385.6470583730261</v>
      </c>
      <c r="B1629">
        <v>-2179.3696162826964</v>
      </c>
    </row>
    <row r="1630" spans="1:2" x14ac:dyDescent="0.2">
      <c r="A1630">
        <v>6690.0520222280757</v>
      </c>
      <c r="B1630">
        <v>-2175.1454740048503</v>
      </c>
    </row>
    <row r="1631" spans="1:2" x14ac:dyDescent="0.2">
      <c r="A1631">
        <v>10660.871626104985</v>
      </c>
      <c r="B1631">
        <v>-2169.4090258298093</v>
      </c>
    </row>
    <row r="1632" spans="1:2" x14ac:dyDescent="0.2">
      <c r="A1632">
        <v>1774.4465933571337</v>
      </c>
      <c r="B1632">
        <v>-2169.3908319974726</v>
      </c>
    </row>
    <row r="1633" spans="1:2" x14ac:dyDescent="0.2">
      <c r="A1633">
        <v>17549.142841735083</v>
      </c>
      <c r="B1633">
        <v>-2165.2014671424404</v>
      </c>
    </row>
    <row r="1634" spans="1:2" x14ac:dyDescent="0.2">
      <c r="A1634">
        <v>4500.0984760262072</v>
      </c>
      <c r="B1634">
        <v>-2159.9041090066021</v>
      </c>
    </row>
    <row r="1635" spans="1:2" x14ac:dyDescent="0.2">
      <c r="A1635">
        <v>-2138.6970666628331</v>
      </c>
      <c r="B1635">
        <v>-2151.0128408285382</v>
      </c>
    </row>
    <row r="1636" spans="1:2" x14ac:dyDescent="0.2">
      <c r="A1636">
        <v>-2059.2493878451642</v>
      </c>
      <c r="B1636">
        <v>-2143.4645492218842</v>
      </c>
    </row>
    <row r="1637" spans="1:2" x14ac:dyDescent="0.2">
      <c r="A1637">
        <v>17195.384257068683</v>
      </c>
      <c r="B1637">
        <v>-2143.3838778847712</v>
      </c>
    </row>
    <row r="1638" spans="1:2" x14ac:dyDescent="0.2">
      <c r="A1638">
        <v>11283.366938612569</v>
      </c>
      <c r="B1638">
        <v>-2143.2507118773065</v>
      </c>
    </row>
    <row r="1639" spans="1:2" x14ac:dyDescent="0.2">
      <c r="A1639">
        <v>-472.9659058121033</v>
      </c>
      <c r="B1639">
        <v>-2141.1111482632405</v>
      </c>
    </row>
    <row r="1640" spans="1:2" x14ac:dyDescent="0.2">
      <c r="A1640">
        <v>15505.141233118658</v>
      </c>
      <c r="B1640">
        <v>-2139.9438632341335</v>
      </c>
    </row>
    <row r="1641" spans="1:2" x14ac:dyDescent="0.2">
      <c r="A1641">
        <v>4289.7198330269312</v>
      </c>
      <c r="B1641">
        <v>-2138.6970666628331</v>
      </c>
    </row>
    <row r="1642" spans="1:2" x14ac:dyDescent="0.2">
      <c r="A1642">
        <v>3980.2393433332327</v>
      </c>
      <c r="B1642">
        <v>-2134.0007894148002</v>
      </c>
    </row>
    <row r="1643" spans="1:2" x14ac:dyDescent="0.2">
      <c r="A1643">
        <v>7450.1026893527596</v>
      </c>
      <c r="B1643">
        <v>-2133.7024839492806</v>
      </c>
    </row>
    <row r="1644" spans="1:2" x14ac:dyDescent="0.2">
      <c r="A1644">
        <v>2372.9611815937678</v>
      </c>
      <c r="B1644">
        <v>-2123.3324875048129</v>
      </c>
    </row>
    <row r="1645" spans="1:2" x14ac:dyDescent="0.2">
      <c r="A1645">
        <v>14767.451031731995</v>
      </c>
      <c r="B1645">
        <v>-2121.1684782208758</v>
      </c>
    </row>
    <row r="1646" spans="1:2" x14ac:dyDescent="0.2">
      <c r="A1646">
        <v>8185.9368645716459</v>
      </c>
      <c r="B1646">
        <v>-2091.4062651555287</v>
      </c>
    </row>
    <row r="1647" spans="1:2" x14ac:dyDescent="0.2">
      <c r="A1647">
        <v>-7093.4958464106603</v>
      </c>
      <c r="B1647">
        <v>-2087.1850478026317</v>
      </c>
    </row>
    <row r="1648" spans="1:2" x14ac:dyDescent="0.2">
      <c r="A1648">
        <v>3536.7409983057296</v>
      </c>
      <c r="B1648">
        <v>-2086.8807700383768</v>
      </c>
    </row>
    <row r="1649" spans="1:2" x14ac:dyDescent="0.2">
      <c r="A1649">
        <v>2805.1183943244396</v>
      </c>
      <c r="B1649">
        <v>-2084.7891778669145</v>
      </c>
    </row>
    <row r="1650" spans="1:2" x14ac:dyDescent="0.2">
      <c r="A1650">
        <v>8237.8200347407546</v>
      </c>
      <c r="B1650">
        <v>-2069.6309507956903</v>
      </c>
    </row>
    <row r="1651" spans="1:2" x14ac:dyDescent="0.2">
      <c r="A1651">
        <v>-2527.4581374367408</v>
      </c>
      <c r="B1651">
        <v>-2068.5522328557563</v>
      </c>
    </row>
    <row r="1652" spans="1:2" x14ac:dyDescent="0.2">
      <c r="A1652">
        <v>1294.6772365496436</v>
      </c>
      <c r="B1652">
        <v>-2059.2493878451642</v>
      </c>
    </row>
    <row r="1653" spans="1:2" x14ac:dyDescent="0.2">
      <c r="A1653">
        <v>-6188.356736655056</v>
      </c>
      <c r="B1653">
        <v>-2053.3853779482888</v>
      </c>
    </row>
    <row r="1654" spans="1:2" x14ac:dyDescent="0.2">
      <c r="A1654">
        <v>5662.3937117210298</v>
      </c>
      <c r="B1654">
        <v>-2052.0425556859118</v>
      </c>
    </row>
    <row r="1655" spans="1:2" x14ac:dyDescent="0.2">
      <c r="A1655">
        <v>-9771.1123974585789</v>
      </c>
      <c r="B1655">
        <v>-2051.2716552964994</v>
      </c>
    </row>
    <row r="1656" spans="1:2" x14ac:dyDescent="0.2">
      <c r="A1656">
        <v>-8206.3377747513005</v>
      </c>
      <c r="B1656">
        <v>-2050.4085777344881</v>
      </c>
    </row>
    <row r="1657" spans="1:2" x14ac:dyDescent="0.2">
      <c r="A1657">
        <v>6393.1774780228443</v>
      </c>
      <c r="B1657">
        <v>-2048.0471458081738</v>
      </c>
    </row>
    <row r="1658" spans="1:2" x14ac:dyDescent="0.2">
      <c r="A1658">
        <v>7272.3650505859114</v>
      </c>
      <c r="B1658">
        <v>-2038.2825696806831</v>
      </c>
    </row>
    <row r="1659" spans="1:2" x14ac:dyDescent="0.2">
      <c r="A1659">
        <v>2310.3316205738811</v>
      </c>
      <c r="B1659">
        <v>-2032.3313856199966</v>
      </c>
    </row>
    <row r="1660" spans="1:2" x14ac:dyDescent="0.2">
      <c r="A1660">
        <v>6260.9779946499038</v>
      </c>
      <c r="B1660">
        <v>-2031.2616916469415</v>
      </c>
    </row>
    <row r="1661" spans="1:2" x14ac:dyDescent="0.2">
      <c r="A1661">
        <v>-9466.5313776954426</v>
      </c>
      <c r="B1661">
        <v>-2030.2488652948523</v>
      </c>
    </row>
    <row r="1662" spans="1:2" x14ac:dyDescent="0.2">
      <c r="A1662">
        <v>-9448.0122269961284</v>
      </c>
      <c r="B1662">
        <v>-2025.9851172972121</v>
      </c>
    </row>
    <row r="1663" spans="1:2" x14ac:dyDescent="0.2">
      <c r="A1663">
        <v>-1661.9722046090465</v>
      </c>
      <c r="B1663">
        <v>-2021.5896000262001</v>
      </c>
    </row>
    <row r="1664" spans="1:2" x14ac:dyDescent="0.2">
      <c r="A1664">
        <v>9510.5761324531049</v>
      </c>
      <c r="B1664">
        <v>-2021.1126918096852</v>
      </c>
    </row>
    <row r="1665" spans="1:2" x14ac:dyDescent="0.2">
      <c r="A1665">
        <v>-1411.4379105201806</v>
      </c>
      <c r="B1665">
        <v>-2020.9029935089056</v>
      </c>
    </row>
    <row r="1666" spans="1:2" x14ac:dyDescent="0.2">
      <c r="A1666">
        <v>-5547.1305848128395</v>
      </c>
      <c r="B1666">
        <v>-2010.7604253213794</v>
      </c>
    </row>
    <row r="1667" spans="1:2" x14ac:dyDescent="0.2">
      <c r="A1667">
        <v>-8287.3813779060729</v>
      </c>
      <c r="B1667">
        <v>-2004.1306932382286</v>
      </c>
    </row>
    <row r="1668" spans="1:2" x14ac:dyDescent="0.2">
      <c r="A1668">
        <v>8079.1882370684762</v>
      </c>
      <c r="B1668">
        <v>-1999.6509993846994</v>
      </c>
    </row>
    <row r="1669" spans="1:2" x14ac:dyDescent="0.2">
      <c r="A1669">
        <v>10461.663370465219</v>
      </c>
      <c r="B1669">
        <v>-1995.1845584849361</v>
      </c>
    </row>
    <row r="1670" spans="1:2" x14ac:dyDescent="0.2">
      <c r="A1670">
        <v>11597.302882253105</v>
      </c>
      <c r="B1670">
        <v>-1989.2309290565609</v>
      </c>
    </row>
    <row r="1671" spans="1:2" x14ac:dyDescent="0.2">
      <c r="A1671">
        <v>-3904.2572347369278</v>
      </c>
      <c r="B1671">
        <v>-1979.8910705334565</v>
      </c>
    </row>
    <row r="1672" spans="1:2" x14ac:dyDescent="0.2">
      <c r="A1672">
        <v>14264.590975847037</v>
      </c>
      <c r="B1672">
        <v>-1975.8193870974937</v>
      </c>
    </row>
    <row r="1673" spans="1:2" x14ac:dyDescent="0.2">
      <c r="A1673">
        <v>15572.815285422432</v>
      </c>
      <c r="B1673">
        <v>-1972.3484560833313</v>
      </c>
    </row>
    <row r="1674" spans="1:2" x14ac:dyDescent="0.2">
      <c r="A1674">
        <v>7823.2598187971162</v>
      </c>
      <c r="B1674">
        <v>-1963.6328153009526</v>
      </c>
    </row>
    <row r="1675" spans="1:2" x14ac:dyDescent="0.2">
      <c r="A1675">
        <v>4366.3055194366898</v>
      </c>
      <c r="B1675">
        <v>-1950.7174694296846</v>
      </c>
    </row>
    <row r="1676" spans="1:2" x14ac:dyDescent="0.2">
      <c r="A1676">
        <v>-14872.310906015278</v>
      </c>
      <c r="B1676">
        <v>-1950.4736842467391</v>
      </c>
    </row>
    <row r="1677" spans="1:2" x14ac:dyDescent="0.2">
      <c r="A1677">
        <v>-13278.338318183145</v>
      </c>
      <c r="B1677">
        <v>-1947.1972854825435</v>
      </c>
    </row>
    <row r="1678" spans="1:2" x14ac:dyDescent="0.2">
      <c r="A1678">
        <v>-6749.9850889701629</v>
      </c>
      <c r="B1678">
        <v>-1943.2114674644545</v>
      </c>
    </row>
    <row r="1679" spans="1:2" x14ac:dyDescent="0.2">
      <c r="A1679">
        <v>1804.7480338527821</v>
      </c>
      <c r="B1679">
        <v>-1930.233996417388</v>
      </c>
    </row>
    <row r="1680" spans="1:2" x14ac:dyDescent="0.2">
      <c r="A1680">
        <v>5624.6441232723009</v>
      </c>
      <c r="B1680">
        <v>-1923.6598960369593</v>
      </c>
    </row>
    <row r="1681" spans="1:2" x14ac:dyDescent="0.2">
      <c r="A1681">
        <v>7800.4542941549444</v>
      </c>
      <c r="B1681">
        <v>-1911.4591621848522</v>
      </c>
    </row>
    <row r="1682" spans="1:2" x14ac:dyDescent="0.2">
      <c r="A1682">
        <v>-1878.9126533641829</v>
      </c>
      <c r="B1682">
        <v>-1909.6685256403289</v>
      </c>
    </row>
    <row r="1683" spans="1:2" x14ac:dyDescent="0.2">
      <c r="A1683">
        <v>6715.7731637772813</v>
      </c>
      <c r="B1683">
        <v>-1904.3793355941307</v>
      </c>
    </row>
    <row r="1684" spans="1:2" x14ac:dyDescent="0.2">
      <c r="A1684">
        <v>12321.046529525978</v>
      </c>
      <c r="B1684">
        <v>-1903.2636018494668</v>
      </c>
    </row>
    <row r="1685" spans="1:2" x14ac:dyDescent="0.2">
      <c r="A1685">
        <v>10961.916583586077</v>
      </c>
      <c r="B1685">
        <v>-1895.9811705866305</v>
      </c>
    </row>
    <row r="1686" spans="1:2" x14ac:dyDescent="0.2">
      <c r="A1686">
        <v>3068.3939710041741</v>
      </c>
      <c r="B1686">
        <v>-1888.0268032231252</v>
      </c>
    </row>
    <row r="1687" spans="1:2" x14ac:dyDescent="0.2">
      <c r="A1687">
        <v>-8405.0110241275688</v>
      </c>
      <c r="B1687">
        <v>-1886.2469385680743</v>
      </c>
    </row>
    <row r="1688" spans="1:2" x14ac:dyDescent="0.2">
      <c r="A1688">
        <v>-14221.64718785102</v>
      </c>
      <c r="B1688">
        <v>-1882.359984419425</v>
      </c>
    </row>
    <row r="1689" spans="1:2" x14ac:dyDescent="0.2">
      <c r="A1689">
        <v>2806.6950426036492</v>
      </c>
      <c r="B1689">
        <v>-1880.0762982611195</v>
      </c>
    </row>
    <row r="1690" spans="1:2" x14ac:dyDescent="0.2">
      <c r="A1690">
        <v>12498.60477083188</v>
      </c>
      <c r="B1690">
        <v>-1879.1492391327338</v>
      </c>
    </row>
    <row r="1691" spans="1:2" x14ac:dyDescent="0.2">
      <c r="A1691">
        <v>-5850.5454705680895</v>
      </c>
      <c r="B1691">
        <v>-1878.9126533641829</v>
      </c>
    </row>
    <row r="1692" spans="1:2" x14ac:dyDescent="0.2">
      <c r="A1692">
        <v>9287.5869878291851</v>
      </c>
      <c r="B1692">
        <v>-1877.2354775281274</v>
      </c>
    </row>
    <row r="1693" spans="1:2" x14ac:dyDescent="0.2">
      <c r="A1693">
        <v>-7517.7036599012208</v>
      </c>
      <c r="B1693">
        <v>-1874.8085023697349</v>
      </c>
    </row>
    <row r="1694" spans="1:2" x14ac:dyDescent="0.2">
      <c r="A1694">
        <v>7621.7189044876432</v>
      </c>
      <c r="B1694">
        <v>-1870.6842993512983</v>
      </c>
    </row>
    <row r="1695" spans="1:2" x14ac:dyDescent="0.2">
      <c r="A1695">
        <v>18638.231497236411</v>
      </c>
      <c r="B1695">
        <v>-1862.1249576349801</v>
      </c>
    </row>
    <row r="1696" spans="1:2" x14ac:dyDescent="0.2">
      <c r="A1696">
        <v>16040.168229681512</v>
      </c>
      <c r="B1696">
        <v>-1857.732662557828</v>
      </c>
    </row>
    <row r="1697" spans="1:2" x14ac:dyDescent="0.2">
      <c r="A1697">
        <v>1968.7214451392065</v>
      </c>
      <c r="B1697">
        <v>-1848.2309129355126</v>
      </c>
    </row>
    <row r="1698" spans="1:2" x14ac:dyDescent="0.2">
      <c r="A1698">
        <v>7056.4500669771514</v>
      </c>
      <c r="B1698">
        <v>-1847.7712983216043</v>
      </c>
    </row>
    <row r="1699" spans="1:2" x14ac:dyDescent="0.2">
      <c r="A1699">
        <v>9444.8340765858884</v>
      </c>
      <c r="B1699">
        <v>-1846.6926306949463</v>
      </c>
    </row>
    <row r="1700" spans="1:2" x14ac:dyDescent="0.2">
      <c r="A1700">
        <v>-11467.575987039658</v>
      </c>
      <c r="B1700">
        <v>-1844.9137815347058</v>
      </c>
    </row>
    <row r="1701" spans="1:2" x14ac:dyDescent="0.2">
      <c r="A1701">
        <v>12540.843420205405</v>
      </c>
      <c r="B1701">
        <v>-1839.554104369483</v>
      </c>
    </row>
    <row r="1702" spans="1:2" x14ac:dyDescent="0.2">
      <c r="A1702">
        <v>11005.827938270872</v>
      </c>
      <c r="B1702">
        <v>-1829.0751285568113</v>
      </c>
    </row>
    <row r="1703" spans="1:2" x14ac:dyDescent="0.2">
      <c r="A1703">
        <v>2959.6783878231363</v>
      </c>
      <c r="B1703">
        <v>-1827.5849493429705</v>
      </c>
    </row>
    <row r="1704" spans="1:2" x14ac:dyDescent="0.2">
      <c r="A1704">
        <v>265.59407498320797</v>
      </c>
      <c r="B1704">
        <v>-1824.2260093376099</v>
      </c>
    </row>
    <row r="1705" spans="1:2" x14ac:dyDescent="0.2">
      <c r="A1705">
        <v>-15546.723884387</v>
      </c>
      <c r="B1705">
        <v>-1814.8461338301422</v>
      </c>
    </row>
    <row r="1706" spans="1:2" x14ac:dyDescent="0.2">
      <c r="A1706">
        <v>-5010.5112836583867</v>
      </c>
      <c r="B1706">
        <v>-1813.7101805556158</v>
      </c>
    </row>
    <row r="1707" spans="1:2" x14ac:dyDescent="0.2">
      <c r="A1707">
        <v>4180.2450011680776</v>
      </c>
      <c r="B1707">
        <v>-1797.8837951018068</v>
      </c>
    </row>
    <row r="1708" spans="1:2" x14ac:dyDescent="0.2">
      <c r="A1708">
        <v>14456.839275961742</v>
      </c>
      <c r="B1708">
        <v>-1795.8589983668062</v>
      </c>
    </row>
    <row r="1709" spans="1:2" x14ac:dyDescent="0.2">
      <c r="A1709">
        <v>-13922.682533702988</v>
      </c>
      <c r="B1709">
        <v>-1794.4740772903751</v>
      </c>
    </row>
    <row r="1710" spans="1:2" x14ac:dyDescent="0.2">
      <c r="A1710">
        <v>2351.8277033145132</v>
      </c>
      <c r="B1710">
        <v>-1777.1156533519388</v>
      </c>
    </row>
    <row r="1711" spans="1:2" x14ac:dyDescent="0.2">
      <c r="A1711">
        <v>10544.088553873036</v>
      </c>
      <c r="B1711">
        <v>-1769.6527336201398</v>
      </c>
    </row>
    <row r="1712" spans="1:2" x14ac:dyDescent="0.2">
      <c r="A1712">
        <v>11045.075333725457</v>
      </c>
      <c r="B1712">
        <v>-1769.0539999485773</v>
      </c>
    </row>
    <row r="1713" spans="1:2" x14ac:dyDescent="0.2">
      <c r="A1713">
        <v>6490.9600220669527</v>
      </c>
      <c r="B1713">
        <v>-1767.702642024844</v>
      </c>
    </row>
    <row r="1714" spans="1:2" x14ac:dyDescent="0.2">
      <c r="A1714">
        <v>17601.297589550813</v>
      </c>
      <c r="B1714">
        <v>-1766.9115002021426</v>
      </c>
    </row>
    <row r="1715" spans="1:2" x14ac:dyDescent="0.2">
      <c r="A1715">
        <v>21811.126117698674</v>
      </c>
      <c r="B1715">
        <v>-1762.8208483729977</v>
      </c>
    </row>
    <row r="1716" spans="1:2" x14ac:dyDescent="0.2">
      <c r="A1716">
        <v>13716.944498064113</v>
      </c>
      <c r="B1716">
        <v>-1759.5175492924755</v>
      </c>
    </row>
    <row r="1717" spans="1:2" x14ac:dyDescent="0.2">
      <c r="A1717">
        <v>2275.9407341698534</v>
      </c>
      <c r="B1717">
        <v>-1756.2981789205805</v>
      </c>
    </row>
    <row r="1718" spans="1:2" x14ac:dyDescent="0.2">
      <c r="A1718">
        <v>8313.0945330568356</v>
      </c>
      <c r="B1718">
        <v>-1749.7703795704583</v>
      </c>
    </row>
    <row r="1719" spans="1:2" x14ac:dyDescent="0.2">
      <c r="A1719">
        <v>12307.6855728472</v>
      </c>
      <c r="B1719">
        <v>-1746.1793083234807</v>
      </c>
    </row>
    <row r="1720" spans="1:2" x14ac:dyDescent="0.2">
      <c r="A1720">
        <v>-4730.1017886921763</v>
      </c>
      <c r="B1720">
        <v>-1742.7572090791073</v>
      </c>
    </row>
    <row r="1721" spans="1:2" x14ac:dyDescent="0.2">
      <c r="A1721">
        <v>-3584.512057823682</v>
      </c>
      <c r="B1721">
        <v>-1736.859187267255</v>
      </c>
    </row>
    <row r="1722" spans="1:2" x14ac:dyDescent="0.2">
      <c r="A1722">
        <v>6201.6500350448769</v>
      </c>
      <c r="B1722">
        <v>-1732.3757642693236</v>
      </c>
    </row>
    <row r="1723" spans="1:2" x14ac:dyDescent="0.2">
      <c r="A1723">
        <v>9491.6732955267944</v>
      </c>
      <c r="B1723">
        <v>-1723.7987738433876</v>
      </c>
    </row>
    <row r="1724" spans="1:2" x14ac:dyDescent="0.2">
      <c r="A1724">
        <v>3468.2493808666186</v>
      </c>
      <c r="B1724">
        <v>-1719.7049353717011</v>
      </c>
    </row>
    <row r="1725" spans="1:2" x14ac:dyDescent="0.2">
      <c r="A1725">
        <v>-456.02506392082432</v>
      </c>
      <c r="B1725">
        <v>-1719.5940417688398</v>
      </c>
    </row>
    <row r="1726" spans="1:2" x14ac:dyDescent="0.2">
      <c r="A1726">
        <v>-4717.4517417144089</v>
      </c>
      <c r="B1726">
        <v>-1719.0843527048128</v>
      </c>
    </row>
    <row r="1727" spans="1:2" x14ac:dyDescent="0.2">
      <c r="A1727">
        <v>521.64178883266868</v>
      </c>
      <c r="B1727">
        <v>-1717.8512047195691</v>
      </c>
    </row>
    <row r="1728" spans="1:2" x14ac:dyDescent="0.2">
      <c r="A1728">
        <v>3639.9574577969324</v>
      </c>
      <c r="B1728">
        <v>-1712.6719864440965</v>
      </c>
    </row>
    <row r="1729" spans="1:2" x14ac:dyDescent="0.2">
      <c r="A1729">
        <v>-17491.005517535377</v>
      </c>
      <c r="B1729">
        <v>-1702.0143498403777</v>
      </c>
    </row>
    <row r="1730" spans="1:2" x14ac:dyDescent="0.2">
      <c r="A1730">
        <v>-8079.8398712915368</v>
      </c>
      <c r="B1730">
        <v>-1696.7992456675565</v>
      </c>
    </row>
    <row r="1731" spans="1:2" x14ac:dyDescent="0.2">
      <c r="A1731">
        <v>-3089.560142651666</v>
      </c>
      <c r="B1731">
        <v>-1689.5495184079045</v>
      </c>
    </row>
    <row r="1732" spans="1:2" x14ac:dyDescent="0.2">
      <c r="A1732">
        <v>9398.9998468323902</v>
      </c>
      <c r="B1732">
        <v>-1680.3869196208543</v>
      </c>
    </row>
    <row r="1733" spans="1:2" x14ac:dyDescent="0.2">
      <c r="A1733">
        <v>-6867.0135839062277</v>
      </c>
      <c r="B1733">
        <v>-1665.8745537155191</v>
      </c>
    </row>
    <row r="1734" spans="1:2" x14ac:dyDescent="0.2">
      <c r="A1734">
        <v>-27847.259125642711</v>
      </c>
      <c r="B1734">
        <v>-1661.9722046090465</v>
      </c>
    </row>
    <row r="1735" spans="1:2" x14ac:dyDescent="0.2">
      <c r="A1735">
        <v>-1508.1487015307066</v>
      </c>
      <c r="B1735">
        <v>-1650.369516053237</v>
      </c>
    </row>
    <row r="1736" spans="1:2" x14ac:dyDescent="0.2">
      <c r="A1736">
        <v>2976.7407323822554</v>
      </c>
      <c r="B1736">
        <v>-1647.4064312097616</v>
      </c>
    </row>
    <row r="1737" spans="1:2" x14ac:dyDescent="0.2">
      <c r="A1737">
        <v>-6006.2430805055774</v>
      </c>
      <c r="B1737">
        <v>-1644.4786483993521</v>
      </c>
    </row>
    <row r="1738" spans="1:2" x14ac:dyDescent="0.2">
      <c r="A1738">
        <v>-13193.534211299877</v>
      </c>
      <c r="B1738">
        <v>-1644.2464232912753</v>
      </c>
    </row>
    <row r="1739" spans="1:2" x14ac:dyDescent="0.2">
      <c r="A1739">
        <v>-8925.8712639217265</v>
      </c>
      <c r="B1739">
        <v>-1643.4013582281186</v>
      </c>
    </row>
    <row r="1740" spans="1:2" x14ac:dyDescent="0.2">
      <c r="A1740">
        <v>6717.7945308836061</v>
      </c>
      <c r="B1740">
        <v>-1633.7218764582649</v>
      </c>
    </row>
    <row r="1741" spans="1:2" x14ac:dyDescent="0.2">
      <c r="A1741">
        <v>477.45424717263086</v>
      </c>
      <c r="B1741">
        <v>-1622.6774287454318</v>
      </c>
    </row>
    <row r="1742" spans="1:2" x14ac:dyDescent="0.2">
      <c r="A1742">
        <v>8433.6686357868602</v>
      </c>
      <c r="B1742">
        <v>-1615.4420099844574</v>
      </c>
    </row>
    <row r="1743" spans="1:2" x14ac:dyDescent="0.2">
      <c r="A1743">
        <v>1863.281329433783</v>
      </c>
      <c r="B1743">
        <v>-1613.412400715577</v>
      </c>
    </row>
    <row r="1744" spans="1:2" x14ac:dyDescent="0.2">
      <c r="A1744">
        <v>4228.8331716920075</v>
      </c>
      <c r="B1744">
        <v>-1607.460064922634</v>
      </c>
    </row>
    <row r="1745" spans="1:2" x14ac:dyDescent="0.2">
      <c r="A1745">
        <v>-2141.1111482632405</v>
      </c>
      <c r="B1745">
        <v>-1606.135577142617</v>
      </c>
    </row>
    <row r="1746" spans="1:2" x14ac:dyDescent="0.2">
      <c r="A1746">
        <v>6425.5301606800058</v>
      </c>
      <c r="B1746">
        <v>-1600.7297828353476</v>
      </c>
    </row>
    <row r="1747" spans="1:2" x14ac:dyDescent="0.2">
      <c r="A1747">
        <v>9855.9377175200207</v>
      </c>
      <c r="B1747">
        <v>-1591.3138282758591</v>
      </c>
    </row>
    <row r="1748" spans="1:2" x14ac:dyDescent="0.2">
      <c r="A1748">
        <v>-1319.2061512253713</v>
      </c>
      <c r="B1748">
        <v>-1582.0939680773881</v>
      </c>
    </row>
    <row r="1749" spans="1:2" x14ac:dyDescent="0.2">
      <c r="A1749">
        <v>-14210.391835809976</v>
      </c>
      <c r="B1749">
        <v>-1575.0539074609405</v>
      </c>
    </row>
    <row r="1750" spans="1:2" x14ac:dyDescent="0.2">
      <c r="A1750">
        <v>608.42803261260269</v>
      </c>
      <c r="B1750">
        <v>-1573.3711386637879</v>
      </c>
    </row>
    <row r="1751" spans="1:2" x14ac:dyDescent="0.2">
      <c r="A1751">
        <v>8520.4742567539797</v>
      </c>
      <c r="B1751">
        <v>-1573.0997000141651</v>
      </c>
    </row>
    <row r="1752" spans="1:2" x14ac:dyDescent="0.2">
      <c r="A1752">
        <v>1998.2014054210158</v>
      </c>
      <c r="B1752">
        <v>-1567.1421301455703</v>
      </c>
    </row>
    <row r="1753" spans="1:2" x14ac:dyDescent="0.2">
      <c r="A1753">
        <v>-19427.788216285408</v>
      </c>
      <c r="B1753">
        <v>-1562.3625246399897</v>
      </c>
    </row>
    <row r="1754" spans="1:2" x14ac:dyDescent="0.2">
      <c r="A1754">
        <v>-9039.9076501037634</v>
      </c>
      <c r="B1754">
        <v>-1552.9048377744621</v>
      </c>
    </row>
    <row r="1755" spans="1:2" x14ac:dyDescent="0.2">
      <c r="A1755">
        <v>6724.7727387195337</v>
      </c>
      <c r="B1755">
        <v>-1543.9470665222907</v>
      </c>
    </row>
    <row r="1756" spans="1:2" x14ac:dyDescent="0.2">
      <c r="A1756">
        <v>8327.4176788609475</v>
      </c>
      <c r="B1756">
        <v>-1542.3887204302882</v>
      </c>
    </row>
    <row r="1757" spans="1:2" x14ac:dyDescent="0.2">
      <c r="A1757">
        <v>2479.3343266145384</v>
      </c>
      <c r="B1757">
        <v>-1538.1526140777569</v>
      </c>
    </row>
    <row r="1758" spans="1:2" x14ac:dyDescent="0.2">
      <c r="A1758">
        <v>-10614.758750608366</v>
      </c>
      <c r="B1758">
        <v>-1532.4983160256816</v>
      </c>
    </row>
    <row r="1759" spans="1:2" x14ac:dyDescent="0.2">
      <c r="A1759">
        <v>-3536.9981759684742</v>
      </c>
      <c r="B1759">
        <v>-1529.9836278873845</v>
      </c>
    </row>
    <row r="1760" spans="1:2" x14ac:dyDescent="0.2">
      <c r="A1760">
        <v>435.76169944115099</v>
      </c>
      <c r="B1760">
        <v>-1528.8600899522717</v>
      </c>
    </row>
    <row r="1761" spans="1:2" x14ac:dyDescent="0.2">
      <c r="A1761">
        <v>-8967.389684588532</v>
      </c>
      <c r="B1761">
        <v>-1521.744615466625</v>
      </c>
    </row>
    <row r="1762" spans="1:2" x14ac:dyDescent="0.2">
      <c r="A1762">
        <v>3799.7167036188475</v>
      </c>
      <c r="B1762">
        <v>-1521.2303019126994</v>
      </c>
    </row>
    <row r="1763" spans="1:2" x14ac:dyDescent="0.2">
      <c r="A1763">
        <v>-3641.9375453916728</v>
      </c>
      <c r="B1763">
        <v>-1509.9223368506646</v>
      </c>
    </row>
    <row r="1764" spans="1:2" x14ac:dyDescent="0.2">
      <c r="A1764">
        <v>-8115.3827779437706</v>
      </c>
      <c r="B1764">
        <v>-1508.1487015307066</v>
      </c>
    </row>
    <row r="1765" spans="1:2" x14ac:dyDescent="0.2">
      <c r="A1765">
        <v>-3918.2785574940208</v>
      </c>
      <c r="B1765">
        <v>-1507.7130911035347</v>
      </c>
    </row>
    <row r="1766" spans="1:2" x14ac:dyDescent="0.2">
      <c r="A1766">
        <v>10700.410039192764</v>
      </c>
      <c r="B1766">
        <v>-1505.6371268189396</v>
      </c>
    </row>
    <row r="1767" spans="1:2" x14ac:dyDescent="0.2">
      <c r="A1767">
        <v>-648.65301527341944</v>
      </c>
      <c r="B1767">
        <v>-1501.0486237976584</v>
      </c>
    </row>
    <row r="1768" spans="1:2" x14ac:dyDescent="0.2">
      <c r="A1768">
        <v>-6031.856124992948</v>
      </c>
      <c r="B1768">
        <v>-1493.5604742069263</v>
      </c>
    </row>
    <row r="1769" spans="1:2" x14ac:dyDescent="0.2">
      <c r="A1769">
        <v>11923.779932701524</v>
      </c>
      <c r="B1769">
        <v>-1491.9359587834915</v>
      </c>
    </row>
    <row r="1770" spans="1:2" x14ac:dyDescent="0.2">
      <c r="A1770">
        <v>68.50355240542558</v>
      </c>
      <c r="B1770">
        <v>-1491.31228412583</v>
      </c>
    </row>
    <row r="1771" spans="1:2" x14ac:dyDescent="0.2">
      <c r="A1771">
        <v>-1909.6685256403289</v>
      </c>
      <c r="B1771">
        <v>-1490.0050959264627</v>
      </c>
    </row>
    <row r="1772" spans="1:2" x14ac:dyDescent="0.2">
      <c r="A1772">
        <v>2262.5334612025472</v>
      </c>
      <c r="B1772">
        <v>-1489.2995400038781</v>
      </c>
    </row>
    <row r="1773" spans="1:2" x14ac:dyDescent="0.2">
      <c r="A1773">
        <v>-3962.0613102550269</v>
      </c>
      <c r="B1773">
        <v>-1486.8542251974577</v>
      </c>
    </row>
    <row r="1774" spans="1:2" x14ac:dyDescent="0.2">
      <c r="A1774">
        <v>3860.5555862175825</v>
      </c>
      <c r="B1774">
        <v>-1476.2809359008097</v>
      </c>
    </row>
    <row r="1775" spans="1:2" x14ac:dyDescent="0.2">
      <c r="A1775">
        <v>5394.1865504948655</v>
      </c>
      <c r="B1775">
        <v>-1470.4812072185741</v>
      </c>
    </row>
    <row r="1776" spans="1:2" x14ac:dyDescent="0.2">
      <c r="A1776">
        <v>-3221.4159056025383</v>
      </c>
      <c r="B1776">
        <v>-1459.4956910665787</v>
      </c>
    </row>
    <row r="1777" spans="1:2" x14ac:dyDescent="0.2">
      <c r="A1777">
        <v>10696.676284946792</v>
      </c>
      <c r="B1777">
        <v>-1454.8707764784922</v>
      </c>
    </row>
    <row r="1778" spans="1:2" x14ac:dyDescent="0.2">
      <c r="A1778">
        <v>-880.6026072013774</v>
      </c>
      <c r="B1778">
        <v>-1453.859747984854</v>
      </c>
    </row>
    <row r="1779" spans="1:2" x14ac:dyDescent="0.2">
      <c r="A1779">
        <v>2014.3379969714442</v>
      </c>
      <c r="B1779">
        <v>-1443.6319065265707</v>
      </c>
    </row>
    <row r="1780" spans="1:2" x14ac:dyDescent="0.2">
      <c r="A1780">
        <v>-4025.8780149682425</v>
      </c>
      <c r="B1780">
        <v>-1433.643459259707</v>
      </c>
    </row>
    <row r="1781" spans="1:2" x14ac:dyDescent="0.2">
      <c r="A1781">
        <v>13964.652709641901</v>
      </c>
      <c r="B1781">
        <v>-1433.5524750707846</v>
      </c>
    </row>
    <row r="1782" spans="1:2" x14ac:dyDescent="0.2">
      <c r="A1782">
        <v>11798.552257587522</v>
      </c>
      <c r="B1782">
        <v>-1428.3609454502875</v>
      </c>
    </row>
    <row r="1783" spans="1:2" x14ac:dyDescent="0.2">
      <c r="A1783">
        <v>17627.892185675621</v>
      </c>
      <c r="B1783">
        <v>-1423.8565737729077</v>
      </c>
    </row>
    <row r="1784" spans="1:2" x14ac:dyDescent="0.2">
      <c r="A1784">
        <v>3935.115032325557</v>
      </c>
      <c r="B1784">
        <v>-1415.0813292040839</v>
      </c>
    </row>
    <row r="1785" spans="1:2" x14ac:dyDescent="0.2">
      <c r="A1785">
        <v>-8587.093652762298</v>
      </c>
      <c r="B1785">
        <v>-1415.0633168920758</v>
      </c>
    </row>
    <row r="1786" spans="1:2" x14ac:dyDescent="0.2">
      <c r="A1786">
        <v>6968.3439017729834</v>
      </c>
      <c r="B1786">
        <v>-1411.4379105201806</v>
      </c>
    </row>
    <row r="1787" spans="1:2" x14ac:dyDescent="0.2">
      <c r="A1787">
        <v>-21720.913887489703</v>
      </c>
      <c r="B1787">
        <v>-1390.3598803830682</v>
      </c>
    </row>
    <row r="1788" spans="1:2" x14ac:dyDescent="0.2">
      <c r="A1788">
        <v>-27077.734060621704</v>
      </c>
      <c r="B1788">
        <v>-1388.3800601420226</v>
      </c>
    </row>
    <row r="1789" spans="1:2" x14ac:dyDescent="0.2">
      <c r="A1789">
        <v>24564.370615008404</v>
      </c>
      <c r="B1789">
        <v>-1386.9544626405695</v>
      </c>
    </row>
    <row r="1790" spans="1:2" x14ac:dyDescent="0.2">
      <c r="A1790">
        <v>8790.2325312382309</v>
      </c>
      <c r="B1790">
        <v>-1384.6457089964242</v>
      </c>
    </row>
    <row r="1791" spans="1:2" x14ac:dyDescent="0.2">
      <c r="A1791">
        <v>16507.179559339944</v>
      </c>
      <c r="B1791">
        <v>-1383.2324119355762</v>
      </c>
    </row>
    <row r="1792" spans="1:2" x14ac:dyDescent="0.2">
      <c r="A1792">
        <v>3912.2691117248614</v>
      </c>
      <c r="B1792">
        <v>-1375.5693993698223</v>
      </c>
    </row>
    <row r="1793" spans="1:2" x14ac:dyDescent="0.2">
      <c r="A1793">
        <v>6851.0224148177949</v>
      </c>
      <c r="B1793">
        <v>-1365.8315159073099</v>
      </c>
    </row>
    <row r="1794" spans="1:2" x14ac:dyDescent="0.2">
      <c r="A1794">
        <v>9706.0873840206186</v>
      </c>
      <c r="B1794">
        <v>-1365.6245900842769</v>
      </c>
    </row>
    <row r="1795" spans="1:2" x14ac:dyDescent="0.2">
      <c r="A1795">
        <v>-11863.4055980962</v>
      </c>
      <c r="B1795">
        <v>-1358.2862207248399</v>
      </c>
    </row>
    <row r="1796" spans="1:2" x14ac:dyDescent="0.2">
      <c r="A1796">
        <v>-30406.646786541038</v>
      </c>
      <c r="B1796">
        <v>-1350.734902638651</v>
      </c>
    </row>
    <row r="1797" spans="1:2" x14ac:dyDescent="0.2">
      <c r="A1797">
        <v>10674.762810088578</v>
      </c>
      <c r="B1797">
        <v>-1347.6675743763335</v>
      </c>
    </row>
    <row r="1798" spans="1:2" x14ac:dyDescent="0.2">
      <c r="A1798">
        <v>7886.1181800207996</v>
      </c>
      <c r="B1798">
        <v>-1340.6903451551334</v>
      </c>
    </row>
    <row r="1799" spans="1:2" x14ac:dyDescent="0.2">
      <c r="A1799">
        <v>10372.921521196578</v>
      </c>
      <c r="B1799">
        <v>-1330.0573203076492</v>
      </c>
    </row>
    <row r="1800" spans="1:2" x14ac:dyDescent="0.2">
      <c r="A1800">
        <v>-15994.450357251713</v>
      </c>
      <c r="B1800">
        <v>-1319.2061512253713</v>
      </c>
    </row>
    <row r="1801" spans="1:2" x14ac:dyDescent="0.2">
      <c r="A1801">
        <v>9402.0922760076064</v>
      </c>
      <c r="B1801">
        <v>-1309.4106291841599</v>
      </c>
    </row>
    <row r="1802" spans="1:2" x14ac:dyDescent="0.2">
      <c r="A1802">
        <v>12849.978594037762</v>
      </c>
      <c r="B1802">
        <v>-1306.2801724157762</v>
      </c>
    </row>
    <row r="1803" spans="1:2" x14ac:dyDescent="0.2">
      <c r="A1803">
        <v>-7797.562554662989</v>
      </c>
      <c r="B1803">
        <v>-1301.2965479977429</v>
      </c>
    </row>
    <row r="1804" spans="1:2" x14ac:dyDescent="0.2">
      <c r="A1804">
        <v>10117.829657217371</v>
      </c>
      <c r="B1804">
        <v>-1290.7012626326177</v>
      </c>
    </row>
    <row r="1805" spans="1:2" x14ac:dyDescent="0.2">
      <c r="A1805">
        <v>10043.456056948839</v>
      </c>
      <c r="B1805">
        <v>-1289.3868437080819</v>
      </c>
    </row>
    <row r="1806" spans="1:2" x14ac:dyDescent="0.2">
      <c r="A1806">
        <v>4068.3610176432994</v>
      </c>
      <c r="B1806">
        <v>-1289.3446824192069</v>
      </c>
    </row>
    <row r="1807" spans="1:2" x14ac:dyDescent="0.2">
      <c r="A1807">
        <v>-9534.1512870664592</v>
      </c>
      <c r="B1807">
        <v>-1284.173699595558</v>
      </c>
    </row>
    <row r="1808" spans="1:2" x14ac:dyDescent="0.2">
      <c r="A1808">
        <v>9287.9271932026604</v>
      </c>
      <c r="B1808">
        <v>-1268.9272288881475</v>
      </c>
    </row>
    <row r="1809" spans="1:2" x14ac:dyDescent="0.2">
      <c r="A1809">
        <v>-910.30808881914709</v>
      </c>
      <c r="B1809">
        <v>-1267.8571137293766</v>
      </c>
    </row>
    <row r="1810" spans="1:2" x14ac:dyDescent="0.2">
      <c r="A1810">
        <v>-16197.972821257543</v>
      </c>
      <c r="B1810">
        <v>-1262.0629051161231</v>
      </c>
    </row>
    <row r="1811" spans="1:2" x14ac:dyDescent="0.2">
      <c r="A1811">
        <v>-4908.2359445186448</v>
      </c>
      <c r="B1811">
        <v>-1260.6884291480528</v>
      </c>
    </row>
    <row r="1812" spans="1:2" x14ac:dyDescent="0.2">
      <c r="A1812">
        <v>10877.455236560083</v>
      </c>
      <c r="B1812">
        <v>-1232.1469151664642</v>
      </c>
    </row>
    <row r="1813" spans="1:2" x14ac:dyDescent="0.2">
      <c r="A1813">
        <v>13010.335175712564</v>
      </c>
      <c r="B1813">
        <v>-1227.7419638641295</v>
      </c>
    </row>
    <row r="1814" spans="1:2" x14ac:dyDescent="0.2">
      <c r="A1814">
        <v>-10311.229841873428</v>
      </c>
      <c r="B1814">
        <v>-1224.3162648676371</v>
      </c>
    </row>
    <row r="1815" spans="1:2" x14ac:dyDescent="0.2">
      <c r="A1815">
        <v>10648.707280617586</v>
      </c>
      <c r="B1815">
        <v>-1224.2677447680326</v>
      </c>
    </row>
    <row r="1816" spans="1:2" x14ac:dyDescent="0.2">
      <c r="A1816">
        <v>-14304.228960166714</v>
      </c>
      <c r="B1816">
        <v>-1218.2546148670954</v>
      </c>
    </row>
    <row r="1817" spans="1:2" x14ac:dyDescent="0.2">
      <c r="A1817">
        <v>-10698.340424024209</v>
      </c>
      <c r="B1817">
        <v>-1214.289294332877</v>
      </c>
    </row>
    <row r="1818" spans="1:2" x14ac:dyDescent="0.2">
      <c r="A1818">
        <v>6531.0861958119785</v>
      </c>
      <c r="B1818">
        <v>-1212.5707835814683</v>
      </c>
    </row>
    <row r="1819" spans="1:2" x14ac:dyDescent="0.2">
      <c r="A1819">
        <v>2140.1788438837975</v>
      </c>
      <c r="B1819">
        <v>-1198.0439941311779</v>
      </c>
    </row>
    <row r="1820" spans="1:2" x14ac:dyDescent="0.2">
      <c r="A1820">
        <v>16709.356984064914</v>
      </c>
      <c r="B1820">
        <v>-1191.6605568104133</v>
      </c>
    </row>
    <row r="1821" spans="1:2" x14ac:dyDescent="0.2">
      <c r="A1821">
        <v>13794.204045572435</v>
      </c>
      <c r="B1821">
        <v>-1184.4616408173752</v>
      </c>
    </row>
    <row r="1822" spans="1:2" x14ac:dyDescent="0.2">
      <c r="A1822">
        <v>-2331.4983878477069</v>
      </c>
      <c r="B1822">
        <v>-1182.3282830906537</v>
      </c>
    </row>
    <row r="1823" spans="1:2" x14ac:dyDescent="0.2">
      <c r="A1823">
        <v>-11315.469493939192</v>
      </c>
      <c r="B1823">
        <v>-1159.870587020414</v>
      </c>
    </row>
    <row r="1824" spans="1:2" x14ac:dyDescent="0.2">
      <c r="A1824">
        <v>9025.7490198163141</v>
      </c>
      <c r="B1824">
        <v>-1145.7392084671301</v>
      </c>
    </row>
    <row r="1825" spans="1:2" x14ac:dyDescent="0.2">
      <c r="A1825">
        <v>-11258.786575140432</v>
      </c>
      <c r="B1825">
        <v>-1142.5490737755317</v>
      </c>
    </row>
    <row r="1826" spans="1:2" x14ac:dyDescent="0.2">
      <c r="A1826">
        <v>12243.893708052376</v>
      </c>
      <c r="B1826">
        <v>-1141.2659853841469</v>
      </c>
    </row>
    <row r="1827" spans="1:2" x14ac:dyDescent="0.2">
      <c r="A1827">
        <v>192.07199069901253</v>
      </c>
      <c r="B1827">
        <v>-1134.7180244097253</v>
      </c>
    </row>
    <row r="1828" spans="1:2" x14ac:dyDescent="0.2">
      <c r="A1828">
        <v>17910.878095558815</v>
      </c>
      <c r="B1828">
        <v>-1130.5092463274777</v>
      </c>
    </row>
    <row r="1829" spans="1:2" x14ac:dyDescent="0.2">
      <c r="A1829">
        <v>-19345.092999023793</v>
      </c>
      <c r="B1829">
        <v>-1128.3718514660432</v>
      </c>
    </row>
    <row r="1830" spans="1:2" x14ac:dyDescent="0.2">
      <c r="A1830">
        <v>9280.1759577518678</v>
      </c>
      <c r="B1830">
        <v>-1126.0961888294551</v>
      </c>
    </row>
    <row r="1831" spans="1:2" x14ac:dyDescent="0.2">
      <c r="A1831">
        <v>-2270.8383909853874</v>
      </c>
      <c r="B1831">
        <v>-1121.0528600671096</v>
      </c>
    </row>
    <row r="1832" spans="1:2" x14ac:dyDescent="0.2">
      <c r="A1832">
        <v>-3051.3861084347009</v>
      </c>
      <c r="B1832">
        <v>-1118.8999772006646</v>
      </c>
    </row>
    <row r="1833" spans="1:2" x14ac:dyDescent="0.2">
      <c r="A1833">
        <v>12182.043971317849</v>
      </c>
      <c r="B1833">
        <v>-1105.0081520472595</v>
      </c>
    </row>
    <row r="1834" spans="1:2" x14ac:dyDescent="0.2">
      <c r="A1834">
        <v>7483.7338806863991</v>
      </c>
      <c r="B1834">
        <v>-1101.119046756241</v>
      </c>
    </row>
    <row r="1835" spans="1:2" x14ac:dyDescent="0.2">
      <c r="A1835">
        <v>6309.684932953387</v>
      </c>
      <c r="B1835">
        <v>-1098.9366416170087</v>
      </c>
    </row>
    <row r="1836" spans="1:2" x14ac:dyDescent="0.2">
      <c r="A1836">
        <v>6282.2792392434203</v>
      </c>
      <c r="B1836">
        <v>-1097.1064147007419</v>
      </c>
    </row>
    <row r="1837" spans="1:2" x14ac:dyDescent="0.2">
      <c r="A1837">
        <v>9577.4685122179508</v>
      </c>
      <c r="B1837">
        <v>-1096.1395755851263</v>
      </c>
    </row>
    <row r="1838" spans="1:2" x14ac:dyDescent="0.2">
      <c r="A1838">
        <v>-139.19785186747322</v>
      </c>
      <c r="B1838">
        <v>-1095.2062308232707</v>
      </c>
    </row>
    <row r="1839" spans="1:2" x14ac:dyDescent="0.2">
      <c r="A1839">
        <v>-16667.369764275209</v>
      </c>
      <c r="B1839">
        <v>-1088.5806094326836</v>
      </c>
    </row>
    <row r="1840" spans="1:2" x14ac:dyDescent="0.2">
      <c r="A1840">
        <v>10132.335802955873</v>
      </c>
      <c r="B1840">
        <v>-1085.1430842249538</v>
      </c>
    </row>
    <row r="1841" spans="1:2" x14ac:dyDescent="0.2">
      <c r="A1841">
        <v>-1267.8571137293766</v>
      </c>
      <c r="B1841">
        <v>-1081.5351792947622</v>
      </c>
    </row>
    <row r="1842" spans="1:2" x14ac:dyDescent="0.2">
      <c r="A1842">
        <v>4280.7067959387205</v>
      </c>
      <c r="B1842">
        <v>-1076.4684424420702</v>
      </c>
    </row>
    <row r="1843" spans="1:2" x14ac:dyDescent="0.2">
      <c r="A1843">
        <v>-19425.032293731289</v>
      </c>
      <c r="B1843">
        <v>-1070.4466658030287</v>
      </c>
    </row>
    <row r="1844" spans="1:2" x14ac:dyDescent="0.2">
      <c r="A1844">
        <v>9373.0869805019465</v>
      </c>
      <c r="B1844">
        <v>-1068.8546759085148</v>
      </c>
    </row>
    <row r="1845" spans="1:2" x14ac:dyDescent="0.2">
      <c r="A1845">
        <v>476.99089944930165</v>
      </c>
      <c r="B1845">
        <v>-1061.4617765021394</v>
      </c>
    </row>
    <row r="1846" spans="1:2" x14ac:dyDescent="0.2">
      <c r="A1846">
        <v>-5401.4170020581223</v>
      </c>
      <c r="B1846">
        <v>-1038.6945534904953</v>
      </c>
    </row>
    <row r="1847" spans="1:2" x14ac:dyDescent="0.2">
      <c r="A1847">
        <v>16312.019126468978</v>
      </c>
      <c r="B1847">
        <v>-1022.9453759069729</v>
      </c>
    </row>
    <row r="1848" spans="1:2" x14ac:dyDescent="0.2">
      <c r="A1848">
        <v>12844.546333627717</v>
      </c>
      <c r="B1848">
        <v>-1022.8878732115845</v>
      </c>
    </row>
    <row r="1849" spans="1:2" x14ac:dyDescent="0.2">
      <c r="A1849">
        <v>-6866.3432839275338</v>
      </c>
      <c r="B1849">
        <v>-1019.9111092165404</v>
      </c>
    </row>
    <row r="1850" spans="1:2" x14ac:dyDescent="0.2">
      <c r="A1850">
        <v>5650.1927146099042</v>
      </c>
      <c r="B1850">
        <v>-1015.6144659129204</v>
      </c>
    </row>
    <row r="1851" spans="1:2" x14ac:dyDescent="0.2">
      <c r="A1851">
        <v>2538.2397002769867</v>
      </c>
      <c r="B1851">
        <v>-1005.3987821436021</v>
      </c>
    </row>
    <row r="1852" spans="1:2" x14ac:dyDescent="0.2">
      <c r="A1852">
        <v>5400.557544243522</v>
      </c>
      <c r="B1852">
        <v>-989.19141332956497</v>
      </c>
    </row>
    <row r="1853" spans="1:2" x14ac:dyDescent="0.2">
      <c r="A1853">
        <v>-9485.3181648543978</v>
      </c>
      <c r="B1853">
        <v>-988.70901329439948</v>
      </c>
    </row>
    <row r="1854" spans="1:2" x14ac:dyDescent="0.2">
      <c r="A1854">
        <v>-17840.832880505943</v>
      </c>
      <c r="B1854">
        <v>-968.89460137640708</v>
      </c>
    </row>
    <row r="1855" spans="1:2" x14ac:dyDescent="0.2">
      <c r="A1855">
        <v>-8992.3916624724225</v>
      </c>
      <c r="B1855">
        <v>-965.67810203356203</v>
      </c>
    </row>
    <row r="1856" spans="1:2" x14ac:dyDescent="0.2">
      <c r="A1856">
        <v>9943.1905293791497</v>
      </c>
      <c r="B1856">
        <v>-955.66025087225717</v>
      </c>
    </row>
    <row r="1857" spans="1:2" x14ac:dyDescent="0.2">
      <c r="A1857">
        <v>-10049.630824757915</v>
      </c>
      <c r="B1857">
        <v>-953.7515114233538</v>
      </c>
    </row>
    <row r="1858" spans="1:2" x14ac:dyDescent="0.2">
      <c r="A1858">
        <v>-6092.2778270446579</v>
      </c>
      <c r="B1858">
        <v>-952.30587838726933</v>
      </c>
    </row>
    <row r="1859" spans="1:2" x14ac:dyDescent="0.2">
      <c r="A1859">
        <v>12715.557230456179</v>
      </c>
      <c r="B1859">
        <v>-946.11401869211113</v>
      </c>
    </row>
    <row r="1860" spans="1:2" x14ac:dyDescent="0.2">
      <c r="A1860">
        <v>5968.3502432231035</v>
      </c>
      <c r="B1860">
        <v>-944.39911363364081</v>
      </c>
    </row>
    <row r="1861" spans="1:2" x14ac:dyDescent="0.2">
      <c r="A1861">
        <v>2246.5759314345778</v>
      </c>
      <c r="B1861">
        <v>-944.31359568727203</v>
      </c>
    </row>
    <row r="1862" spans="1:2" x14ac:dyDescent="0.2">
      <c r="A1862">
        <v>-15625.710242307396</v>
      </c>
      <c r="B1862">
        <v>-939.965415743005</v>
      </c>
    </row>
    <row r="1863" spans="1:2" x14ac:dyDescent="0.2">
      <c r="A1863">
        <v>-11235.869565086963</v>
      </c>
      <c r="B1863">
        <v>-935.61424122893368</v>
      </c>
    </row>
    <row r="1864" spans="1:2" x14ac:dyDescent="0.2">
      <c r="A1864">
        <v>892.40963003662182</v>
      </c>
      <c r="B1864">
        <v>-933.64081269854796</v>
      </c>
    </row>
    <row r="1865" spans="1:2" x14ac:dyDescent="0.2">
      <c r="A1865">
        <v>22976.463707374496</v>
      </c>
      <c r="B1865">
        <v>-928.04050731076859</v>
      </c>
    </row>
    <row r="1866" spans="1:2" x14ac:dyDescent="0.2">
      <c r="A1866">
        <v>-123.81682085432112</v>
      </c>
      <c r="B1866">
        <v>-924.08074209984625</v>
      </c>
    </row>
    <row r="1867" spans="1:2" x14ac:dyDescent="0.2">
      <c r="A1867">
        <v>7482.0863735914754</v>
      </c>
      <c r="B1867">
        <v>-920.59609874000307</v>
      </c>
    </row>
    <row r="1868" spans="1:2" x14ac:dyDescent="0.2">
      <c r="A1868">
        <v>11657.868919557775</v>
      </c>
      <c r="B1868">
        <v>-920.1471898900927</v>
      </c>
    </row>
    <row r="1869" spans="1:2" x14ac:dyDescent="0.2">
      <c r="A1869">
        <v>319.91615123732481</v>
      </c>
      <c r="B1869">
        <v>-910.73452636584989</v>
      </c>
    </row>
    <row r="1870" spans="1:2" x14ac:dyDescent="0.2">
      <c r="A1870">
        <v>4113.9661569382297</v>
      </c>
      <c r="B1870">
        <v>-910.30808881914709</v>
      </c>
    </row>
    <row r="1871" spans="1:2" x14ac:dyDescent="0.2">
      <c r="A1871">
        <v>6861.5122664813389</v>
      </c>
      <c r="B1871">
        <v>-907.0898540923954</v>
      </c>
    </row>
    <row r="1872" spans="1:2" x14ac:dyDescent="0.2">
      <c r="A1872">
        <v>1484.5444263536483</v>
      </c>
      <c r="B1872">
        <v>-894.47667345654918</v>
      </c>
    </row>
    <row r="1873" spans="1:2" x14ac:dyDescent="0.2">
      <c r="A1873">
        <v>13907.647149063356</v>
      </c>
      <c r="B1873">
        <v>-892.73054498244892</v>
      </c>
    </row>
    <row r="1874" spans="1:2" x14ac:dyDescent="0.2">
      <c r="A1874">
        <v>483.34107881196542</v>
      </c>
      <c r="B1874">
        <v>-880.6026072013774</v>
      </c>
    </row>
    <row r="1875" spans="1:2" x14ac:dyDescent="0.2">
      <c r="A1875">
        <v>-6232.1321806315682</v>
      </c>
      <c r="B1875">
        <v>-878.95140028541209</v>
      </c>
    </row>
    <row r="1876" spans="1:2" x14ac:dyDescent="0.2">
      <c r="A1876">
        <v>-21985.973493745027</v>
      </c>
      <c r="B1876">
        <v>-877.92866942420369</v>
      </c>
    </row>
    <row r="1877" spans="1:2" x14ac:dyDescent="0.2">
      <c r="A1877">
        <v>5700.6602553047996</v>
      </c>
      <c r="B1877">
        <v>-873.34349937533261</v>
      </c>
    </row>
    <row r="1878" spans="1:2" x14ac:dyDescent="0.2">
      <c r="A1878">
        <v>10599.719740213652</v>
      </c>
      <c r="B1878">
        <v>-863.46486356621608</v>
      </c>
    </row>
    <row r="1879" spans="1:2" x14ac:dyDescent="0.2">
      <c r="A1879">
        <v>-139.4753138741944</v>
      </c>
      <c r="B1879">
        <v>-862.93113361590076</v>
      </c>
    </row>
    <row r="1880" spans="1:2" x14ac:dyDescent="0.2">
      <c r="A1880">
        <v>6544.2579902865982</v>
      </c>
      <c r="B1880">
        <v>-855.10177579405718</v>
      </c>
    </row>
    <row r="1881" spans="1:2" x14ac:dyDescent="0.2">
      <c r="A1881">
        <v>18397.3975460816</v>
      </c>
      <c r="B1881">
        <v>-854.34536510801991</v>
      </c>
    </row>
    <row r="1882" spans="1:2" x14ac:dyDescent="0.2">
      <c r="A1882">
        <v>3537.8287839992554</v>
      </c>
      <c r="B1882">
        <v>-850.21618565366953</v>
      </c>
    </row>
    <row r="1883" spans="1:2" x14ac:dyDescent="0.2">
      <c r="A1883">
        <v>-2134.0007894148002</v>
      </c>
      <c r="B1883">
        <v>-846.96074760131887</v>
      </c>
    </row>
    <row r="1884" spans="1:2" x14ac:dyDescent="0.2">
      <c r="A1884">
        <v>-10156.573919713555</v>
      </c>
      <c r="B1884">
        <v>-844.08225317415781</v>
      </c>
    </row>
    <row r="1885" spans="1:2" x14ac:dyDescent="0.2">
      <c r="A1885">
        <v>14779.537537860102</v>
      </c>
      <c r="B1885">
        <v>-842.19969586411025</v>
      </c>
    </row>
    <row r="1886" spans="1:2" x14ac:dyDescent="0.2">
      <c r="A1886">
        <v>-1433.5524750707846</v>
      </c>
      <c r="B1886">
        <v>-835.99290698484401</v>
      </c>
    </row>
    <row r="1887" spans="1:2" x14ac:dyDescent="0.2">
      <c r="A1887">
        <v>12888.824217011308</v>
      </c>
      <c r="B1887">
        <v>-834.80881472860347</v>
      </c>
    </row>
    <row r="1888" spans="1:2" x14ac:dyDescent="0.2">
      <c r="A1888">
        <v>17449.028776805266</v>
      </c>
      <c r="B1888">
        <v>-830.19036184635479</v>
      </c>
    </row>
    <row r="1889" spans="1:2" x14ac:dyDescent="0.2">
      <c r="A1889">
        <v>-11059.040775937494</v>
      </c>
      <c r="B1889">
        <v>-828.85277220144053</v>
      </c>
    </row>
    <row r="1890" spans="1:2" x14ac:dyDescent="0.2">
      <c r="A1890">
        <v>-10250.60984970635</v>
      </c>
      <c r="B1890">
        <v>-828.6692412479606</v>
      </c>
    </row>
    <row r="1891" spans="1:2" x14ac:dyDescent="0.2">
      <c r="A1891">
        <v>7766.8768194072181</v>
      </c>
      <c r="B1891">
        <v>-818.26368346982053</v>
      </c>
    </row>
    <row r="1892" spans="1:2" x14ac:dyDescent="0.2">
      <c r="A1892">
        <v>7187.1917399344966</v>
      </c>
      <c r="B1892">
        <v>-809.53752341907239</v>
      </c>
    </row>
    <row r="1893" spans="1:2" x14ac:dyDescent="0.2">
      <c r="A1893">
        <v>-1877.2354775281274</v>
      </c>
      <c r="B1893">
        <v>-804.42498684581369</v>
      </c>
    </row>
    <row r="1894" spans="1:2" x14ac:dyDescent="0.2">
      <c r="A1894">
        <v>-1340.6903451551334</v>
      </c>
      <c r="B1894">
        <v>-803.01711975870421</v>
      </c>
    </row>
    <row r="1895" spans="1:2" x14ac:dyDescent="0.2">
      <c r="A1895">
        <v>8714.6121178604662</v>
      </c>
      <c r="B1895">
        <v>-800.75138625284308</v>
      </c>
    </row>
    <row r="1896" spans="1:2" x14ac:dyDescent="0.2">
      <c r="A1896">
        <v>6578.17908097076</v>
      </c>
      <c r="B1896">
        <v>-790.21855493079056</v>
      </c>
    </row>
    <row r="1897" spans="1:2" x14ac:dyDescent="0.2">
      <c r="A1897">
        <v>10294.893671719357</v>
      </c>
      <c r="B1897">
        <v>-789.2923806173203</v>
      </c>
    </row>
    <row r="1898" spans="1:2" x14ac:dyDescent="0.2">
      <c r="A1898">
        <v>-5728.1375318258652</v>
      </c>
      <c r="B1898">
        <v>-787.94984497904079</v>
      </c>
    </row>
    <row r="1899" spans="1:2" x14ac:dyDescent="0.2">
      <c r="A1899">
        <v>-13525.989522254036</v>
      </c>
      <c r="B1899">
        <v>-784.78633969969815</v>
      </c>
    </row>
    <row r="1900" spans="1:2" x14ac:dyDescent="0.2">
      <c r="A1900">
        <v>-10641.471609956643</v>
      </c>
      <c r="B1900">
        <v>-776.55362089572009</v>
      </c>
    </row>
    <row r="1901" spans="1:2" x14ac:dyDescent="0.2">
      <c r="A1901">
        <v>3393.9985131784633</v>
      </c>
      <c r="B1901">
        <v>-768.71852103283163</v>
      </c>
    </row>
    <row r="1902" spans="1:2" x14ac:dyDescent="0.2">
      <c r="A1902">
        <v>7546.2595478184521</v>
      </c>
      <c r="B1902">
        <v>-768.19305218086811</v>
      </c>
    </row>
    <row r="1903" spans="1:2" x14ac:dyDescent="0.2">
      <c r="A1903">
        <v>3815.7804458978935</v>
      </c>
      <c r="B1903">
        <v>-763.79209808929591</v>
      </c>
    </row>
    <row r="1904" spans="1:2" x14ac:dyDescent="0.2">
      <c r="A1904">
        <v>9693.6895097880624</v>
      </c>
      <c r="B1904">
        <v>-756.72571041731862</v>
      </c>
    </row>
    <row r="1905" spans="1:2" x14ac:dyDescent="0.2">
      <c r="A1905">
        <v>2315.8343611279852</v>
      </c>
      <c r="B1905">
        <v>-749.32198904117104</v>
      </c>
    </row>
    <row r="1906" spans="1:2" x14ac:dyDescent="0.2">
      <c r="A1906">
        <v>16854.259302806284</v>
      </c>
      <c r="B1906">
        <v>-737.44327922334196</v>
      </c>
    </row>
    <row r="1907" spans="1:2" x14ac:dyDescent="0.2">
      <c r="A1907">
        <v>15861.057384890271</v>
      </c>
      <c r="B1907">
        <v>-722.50264617282664</v>
      </c>
    </row>
    <row r="1908" spans="1:2" x14ac:dyDescent="0.2">
      <c r="A1908">
        <v>17524.330556441302</v>
      </c>
      <c r="B1908">
        <v>-714.34536644408945</v>
      </c>
    </row>
    <row r="1909" spans="1:2" x14ac:dyDescent="0.2">
      <c r="A1909">
        <v>-18324.559351620206</v>
      </c>
      <c r="B1909">
        <v>-711.42547645495506</v>
      </c>
    </row>
    <row r="1910" spans="1:2" x14ac:dyDescent="0.2">
      <c r="A1910">
        <v>-790.21855493079056</v>
      </c>
      <c r="B1910">
        <v>-709.50076764792902</v>
      </c>
    </row>
    <row r="1911" spans="1:2" x14ac:dyDescent="0.2">
      <c r="A1911">
        <v>-19952.071584742749</v>
      </c>
      <c r="B1911">
        <v>-708.98388804949354</v>
      </c>
    </row>
    <row r="1912" spans="1:2" x14ac:dyDescent="0.2">
      <c r="A1912">
        <v>18488.900714480988</v>
      </c>
      <c r="B1912">
        <v>-696.56239369529067</v>
      </c>
    </row>
    <row r="1913" spans="1:2" x14ac:dyDescent="0.2">
      <c r="A1913">
        <v>-4098.4208755323489</v>
      </c>
      <c r="B1913">
        <v>-692.00904519183678</v>
      </c>
    </row>
    <row r="1914" spans="1:2" x14ac:dyDescent="0.2">
      <c r="A1914">
        <v>5004.5549782106536</v>
      </c>
      <c r="B1914">
        <v>-690.20010417330195</v>
      </c>
    </row>
    <row r="1915" spans="1:2" x14ac:dyDescent="0.2">
      <c r="A1915">
        <v>3970.7665380446415</v>
      </c>
      <c r="B1915">
        <v>-685.51326522222371</v>
      </c>
    </row>
    <row r="1916" spans="1:2" x14ac:dyDescent="0.2">
      <c r="A1916">
        <v>872.45556860978832</v>
      </c>
      <c r="B1916">
        <v>-677.02281807904365</v>
      </c>
    </row>
    <row r="1917" spans="1:2" x14ac:dyDescent="0.2">
      <c r="A1917">
        <v>-9718.2025747688604</v>
      </c>
      <c r="B1917">
        <v>-671.73422082449542</v>
      </c>
    </row>
    <row r="1918" spans="1:2" x14ac:dyDescent="0.2">
      <c r="A1918">
        <v>-10916.029068794567</v>
      </c>
      <c r="B1918">
        <v>-663.07878981705289</v>
      </c>
    </row>
    <row r="1919" spans="1:2" x14ac:dyDescent="0.2">
      <c r="A1919">
        <v>7604.8575803158164</v>
      </c>
      <c r="B1919">
        <v>-662.84248585882597</v>
      </c>
    </row>
    <row r="1920" spans="1:2" x14ac:dyDescent="0.2">
      <c r="A1920">
        <v>2415.442842341814</v>
      </c>
      <c r="B1920">
        <v>-660.14883495215327</v>
      </c>
    </row>
    <row r="1921" spans="1:2" x14ac:dyDescent="0.2">
      <c r="A1921">
        <v>1715.3671682845161</v>
      </c>
      <c r="B1921">
        <v>-651.42506775987567</v>
      </c>
    </row>
    <row r="1922" spans="1:2" x14ac:dyDescent="0.2">
      <c r="A1922">
        <v>-1746.1793083234807</v>
      </c>
      <c r="B1922">
        <v>-649.94426480491529</v>
      </c>
    </row>
    <row r="1923" spans="1:2" x14ac:dyDescent="0.2">
      <c r="A1923">
        <v>719.63506053388119</v>
      </c>
      <c r="B1923">
        <v>-648.65301527341944</v>
      </c>
    </row>
    <row r="1924" spans="1:2" x14ac:dyDescent="0.2">
      <c r="A1924">
        <v>1615.3865229462972</v>
      </c>
      <c r="B1924">
        <v>-647.81364940162166</v>
      </c>
    </row>
    <row r="1925" spans="1:2" x14ac:dyDescent="0.2">
      <c r="A1925">
        <v>-2123.3324875048129</v>
      </c>
      <c r="B1925">
        <v>-633.93488718188019</v>
      </c>
    </row>
    <row r="1926" spans="1:2" x14ac:dyDescent="0.2">
      <c r="A1926">
        <v>21511.191737262416</v>
      </c>
      <c r="B1926">
        <v>-625.35237880621571</v>
      </c>
    </row>
    <row r="1927" spans="1:2" x14ac:dyDescent="0.2">
      <c r="A1927">
        <v>-6036.5151388118393</v>
      </c>
      <c r="B1927">
        <v>-609.41522809152957</v>
      </c>
    </row>
    <row r="1928" spans="1:2" x14ac:dyDescent="0.2">
      <c r="A1928">
        <v>638.17642188668833</v>
      </c>
      <c r="B1928">
        <v>-608.36036127412808</v>
      </c>
    </row>
    <row r="1929" spans="1:2" x14ac:dyDescent="0.2">
      <c r="A1929">
        <v>-20591.238311063615</v>
      </c>
      <c r="B1929">
        <v>-592.02048586771707</v>
      </c>
    </row>
    <row r="1930" spans="1:2" x14ac:dyDescent="0.2">
      <c r="A1930">
        <v>-36012.055684973893</v>
      </c>
      <c r="B1930">
        <v>-581.64076156695955</v>
      </c>
    </row>
    <row r="1931" spans="1:2" x14ac:dyDescent="0.2">
      <c r="A1931">
        <v>-7163.790562940354</v>
      </c>
      <c r="B1931">
        <v>-581.50152001006063</v>
      </c>
    </row>
    <row r="1932" spans="1:2" x14ac:dyDescent="0.2">
      <c r="A1932">
        <v>-7018.3813722264895</v>
      </c>
      <c r="B1932">
        <v>-579.16912076127483</v>
      </c>
    </row>
    <row r="1933" spans="1:2" x14ac:dyDescent="0.2">
      <c r="A1933">
        <v>14163.338655654923</v>
      </c>
      <c r="B1933">
        <v>-576.63464770000428</v>
      </c>
    </row>
    <row r="1934" spans="1:2" x14ac:dyDescent="0.2">
      <c r="A1934">
        <v>577.26780466362834</v>
      </c>
      <c r="B1934">
        <v>-574.16382901219185</v>
      </c>
    </row>
    <row r="1935" spans="1:2" x14ac:dyDescent="0.2">
      <c r="A1935">
        <v>5731.0164912237087</v>
      </c>
      <c r="B1935">
        <v>-564.3836775921518</v>
      </c>
    </row>
    <row r="1936" spans="1:2" x14ac:dyDescent="0.2">
      <c r="A1936">
        <v>10102.283540511853</v>
      </c>
      <c r="B1936">
        <v>-562.46874171990203</v>
      </c>
    </row>
    <row r="1937" spans="1:2" x14ac:dyDescent="0.2">
      <c r="A1937">
        <v>2742.7950953945983</v>
      </c>
      <c r="B1937">
        <v>-557.71529567360994</v>
      </c>
    </row>
    <row r="1938" spans="1:2" x14ac:dyDescent="0.2">
      <c r="A1938">
        <v>-4174.5062607167347</v>
      </c>
      <c r="B1938">
        <v>-557.12829783270718</v>
      </c>
    </row>
    <row r="1939" spans="1:2" x14ac:dyDescent="0.2">
      <c r="A1939">
        <v>-6303.7328805094003</v>
      </c>
      <c r="B1939">
        <v>-554.07897642243188</v>
      </c>
    </row>
    <row r="1940" spans="1:2" x14ac:dyDescent="0.2">
      <c r="A1940">
        <v>11977.756479161559</v>
      </c>
      <c r="B1940">
        <v>-552.75517726654653</v>
      </c>
    </row>
    <row r="1941" spans="1:2" x14ac:dyDescent="0.2">
      <c r="A1941">
        <v>-6093.4291831784067</v>
      </c>
      <c r="B1941">
        <v>-533.5697148052277</v>
      </c>
    </row>
    <row r="1942" spans="1:2" x14ac:dyDescent="0.2">
      <c r="A1942">
        <v>9036.8162646092533</v>
      </c>
      <c r="B1942">
        <v>-504.45958805026021</v>
      </c>
    </row>
    <row r="1943" spans="1:2" x14ac:dyDescent="0.2">
      <c r="A1943">
        <v>4321.5714244579431</v>
      </c>
      <c r="B1943">
        <v>-480.12291376231587</v>
      </c>
    </row>
    <row r="1944" spans="1:2" x14ac:dyDescent="0.2">
      <c r="A1944">
        <v>16264.255722746369</v>
      </c>
      <c r="B1944">
        <v>-479.73928952531423</v>
      </c>
    </row>
    <row r="1945" spans="1:2" x14ac:dyDescent="0.2">
      <c r="A1945">
        <v>-4068.013111245964</v>
      </c>
      <c r="B1945">
        <v>-477.80489502925775</v>
      </c>
    </row>
    <row r="1946" spans="1:2" x14ac:dyDescent="0.2">
      <c r="A1946">
        <v>-25841.019943314721</v>
      </c>
      <c r="B1946">
        <v>-473.37727524881484</v>
      </c>
    </row>
    <row r="1947" spans="1:2" x14ac:dyDescent="0.2">
      <c r="A1947">
        <v>9035.7657703314617</v>
      </c>
      <c r="B1947">
        <v>-472.9659058121033</v>
      </c>
    </row>
    <row r="1948" spans="1:2" x14ac:dyDescent="0.2">
      <c r="A1948">
        <v>7218.0388245748472</v>
      </c>
      <c r="B1948">
        <v>-470.868529620755</v>
      </c>
    </row>
    <row r="1949" spans="1:2" x14ac:dyDescent="0.2">
      <c r="A1949">
        <v>11059.199721969664</v>
      </c>
      <c r="B1949">
        <v>-456.63043547869893</v>
      </c>
    </row>
    <row r="1950" spans="1:2" x14ac:dyDescent="0.2">
      <c r="A1950">
        <v>-14445.601713078329</v>
      </c>
      <c r="B1950">
        <v>-456.02506392082432</v>
      </c>
    </row>
    <row r="1951" spans="1:2" x14ac:dyDescent="0.2">
      <c r="A1951">
        <v>-6849.5373834652128</v>
      </c>
      <c r="B1951">
        <v>-454.71321767719928</v>
      </c>
    </row>
    <row r="1952" spans="1:2" x14ac:dyDescent="0.2">
      <c r="A1952">
        <v>11538.10679535009</v>
      </c>
      <c r="B1952">
        <v>-453.83870334134554</v>
      </c>
    </row>
    <row r="1953" spans="1:2" x14ac:dyDescent="0.2">
      <c r="A1953">
        <v>6471.94825501999</v>
      </c>
      <c r="B1953">
        <v>-453.46009711598163</v>
      </c>
    </row>
    <row r="1954" spans="1:2" x14ac:dyDescent="0.2">
      <c r="A1954">
        <v>2236.3518015812442</v>
      </c>
      <c r="B1954">
        <v>-449.522657304944</v>
      </c>
    </row>
    <row r="1955" spans="1:2" x14ac:dyDescent="0.2">
      <c r="A1955">
        <v>-11235.990299665311</v>
      </c>
      <c r="B1955">
        <v>-438.93941317632562</v>
      </c>
    </row>
    <row r="1956" spans="1:2" x14ac:dyDescent="0.2">
      <c r="A1956">
        <v>4569.4434750461369</v>
      </c>
      <c r="B1956">
        <v>-436.40960031014401</v>
      </c>
    </row>
    <row r="1957" spans="1:2" x14ac:dyDescent="0.2">
      <c r="A1957">
        <v>5715.4932089237846</v>
      </c>
      <c r="B1957">
        <v>-434.87539873484639</v>
      </c>
    </row>
    <row r="1958" spans="1:2" x14ac:dyDescent="0.2">
      <c r="A1958">
        <v>-10708.275447445281</v>
      </c>
      <c r="B1958">
        <v>-432.73844479903346</v>
      </c>
    </row>
    <row r="1959" spans="1:2" x14ac:dyDescent="0.2">
      <c r="A1959">
        <v>21588.380609403073</v>
      </c>
      <c r="B1959">
        <v>-431.08421134797391</v>
      </c>
    </row>
    <row r="1960" spans="1:2" x14ac:dyDescent="0.2">
      <c r="A1960">
        <v>7829.7050198526122</v>
      </c>
      <c r="B1960">
        <v>-426.96887313298066</v>
      </c>
    </row>
    <row r="1961" spans="1:2" x14ac:dyDescent="0.2">
      <c r="A1961">
        <v>9532.1666480969143</v>
      </c>
      <c r="B1961">
        <v>-423.51842323693563</v>
      </c>
    </row>
    <row r="1962" spans="1:2" x14ac:dyDescent="0.2">
      <c r="A1962">
        <v>9042.6869820617139</v>
      </c>
      <c r="B1962">
        <v>-423.17938532715198</v>
      </c>
    </row>
    <row r="1963" spans="1:2" x14ac:dyDescent="0.2">
      <c r="A1963">
        <v>-2883.1129829558777</v>
      </c>
      <c r="B1963">
        <v>-418.42689189134398</v>
      </c>
    </row>
    <row r="1964" spans="1:2" x14ac:dyDescent="0.2">
      <c r="A1964">
        <v>5328.834112584067</v>
      </c>
      <c r="B1964">
        <v>-415.4275788028026</v>
      </c>
    </row>
    <row r="1965" spans="1:2" x14ac:dyDescent="0.2">
      <c r="A1965">
        <v>-7795.9407409921405</v>
      </c>
      <c r="B1965">
        <v>-414.06711481633829</v>
      </c>
    </row>
    <row r="1966" spans="1:2" x14ac:dyDescent="0.2">
      <c r="A1966">
        <v>7314.3455383701366</v>
      </c>
      <c r="B1966">
        <v>-401.61501814759686</v>
      </c>
    </row>
    <row r="1967" spans="1:2" x14ac:dyDescent="0.2">
      <c r="A1967">
        <v>5454.5476110975142</v>
      </c>
      <c r="B1967">
        <v>-395.00204219430452</v>
      </c>
    </row>
    <row r="1968" spans="1:2" x14ac:dyDescent="0.2">
      <c r="A1968">
        <v>3991.0973997979017</v>
      </c>
      <c r="B1968">
        <v>-389.8102539027459</v>
      </c>
    </row>
    <row r="1969" spans="1:2" x14ac:dyDescent="0.2">
      <c r="A1969">
        <v>-8031.3195953354589</v>
      </c>
      <c r="B1969">
        <v>-389.76580066652969</v>
      </c>
    </row>
    <row r="1970" spans="1:2" x14ac:dyDescent="0.2">
      <c r="A1970">
        <v>11587.2944107558</v>
      </c>
      <c r="B1970">
        <v>-389.70180894999066</v>
      </c>
    </row>
    <row r="1971" spans="1:2" x14ac:dyDescent="0.2">
      <c r="A1971">
        <v>8927.1720382318017</v>
      </c>
      <c r="B1971">
        <v>-389.34243549080566</v>
      </c>
    </row>
    <row r="1972" spans="1:2" x14ac:dyDescent="0.2">
      <c r="A1972">
        <v>-10061.611939107417</v>
      </c>
      <c r="B1972">
        <v>-385.96632128334022</v>
      </c>
    </row>
    <row r="1973" spans="1:2" x14ac:dyDescent="0.2">
      <c r="A1973">
        <v>-454.71321767719928</v>
      </c>
      <c r="B1973">
        <v>-381.78803625301225</v>
      </c>
    </row>
    <row r="1974" spans="1:2" x14ac:dyDescent="0.2">
      <c r="A1974">
        <v>1749.8136920150719</v>
      </c>
      <c r="B1974">
        <v>-378.542406420107</v>
      </c>
    </row>
    <row r="1975" spans="1:2" x14ac:dyDescent="0.2">
      <c r="A1975">
        <v>17307.379208510334</v>
      </c>
      <c r="B1975">
        <v>-376.26290550606791</v>
      </c>
    </row>
    <row r="1976" spans="1:2" x14ac:dyDescent="0.2">
      <c r="A1976">
        <v>3243.5417792473454</v>
      </c>
      <c r="B1976">
        <v>-371.62512900918955</v>
      </c>
    </row>
    <row r="1977" spans="1:2" x14ac:dyDescent="0.2">
      <c r="A1977">
        <v>9582.7925184584456</v>
      </c>
      <c r="B1977">
        <v>-368.73045713282772</v>
      </c>
    </row>
    <row r="1978" spans="1:2" x14ac:dyDescent="0.2">
      <c r="A1978">
        <v>8972.4110505494173</v>
      </c>
      <c r="B1978">
        <v>-363.28472956130281</v>
      </c>
    </row>
    <row r="1979" spans="1:2" x14ac:dyDescent="0.2">
      <c r="A1979">
        <v>3655.0349958128645</v>
      </c>
      <c r="B1979">
        <v>-354.09631084554712</v>
      </c>
    </row>
    <row r="1980" spans="1:2" x14ac:dyDescent="0.2">
      <c r="A1980">
        <v>3408.9077859089302</v>
      </c>
      <c r="B1980">
        <v>-351.17906890442828</v>
      </c>
    </row>
    <row r="1981" spans="1:2" x14ac:dyDescent="0.2">
      <c r="A1981">
        <v>-7412.9322334297467</v>
      </c>
      <c r="B1981">
        <v>-347.46466080893879</v>
      </c>
    </row>
    <row r="1982" spans="1:2" x14ac:dyDescent="0.2">
      <c r="A1982">
        <v>5696.2377506375487</v>
      </c>
      <c r="B1982">
        <v>-331.60935730824713</v>
      </c>
    </row>
    <row r="1983" spans="1:2" x14ac:dyDescent="0.2">
      <c r="A1983">
        <v>-6314.8438500859193</v>
      </c>
      <c r="B1983">
        <v>-327.48055246946751</v>
      </c>
    </row>
    <row r="1984" spans="1:2" x14ac:dyDescent="0.2">
      <c r="A1984">
        <v>-11789.665630397474</v>
      </c>
      <c r="B1984">
        <v>-322.6139462221181</v>
      </c>
    </row>
    <row r="1985" spans="1:2" x14ac:dyDescent="0.2">
      <c r="A1985">
        <v>-2483.804829498491</v>
      </c>
      <c r="B1985">
        <v>-319.19734752309159</v>
      </c>
    </row>
    <row r="1986" spans="1:2" x14ac:dyDescent="0.2">
      <c r="A1986">
        <v>-19198.070688756707</v>
      </c>
      <c r="B1986">
        <v>-312.96383965358837</v>
      </c>
    </row>
    <row r="1987" spans="1:2" x14ac:dyDescent="0.2">
      <c r="A1987">
        <v>1194.0563580614398</v>
      </c>
      <c r="B1987">
        <v>-302.16016057238448</v>
      </c>
    </row>
    <row r="1988" spans="1:2" x14ac:dyDescent="0.2">
      <c r="A1988">
        <v>4524.1368043820257</v>
      </c>
      <c r="B1988">
        <v>-300.613803587039</v>
      </c>
    </row>
    <row r="1989" spans="1:2" x14ac:dyDescent="0.2">
      <c r="A1989">
        <v>-1719.5940417688398</v>
      </c>
      <c r="B1989">
        <v>-298.25033975971746</v>
      </c>
    </row>
    <row r="1990" spans="1:2" x14ac:dyDescent="0.2">
      <c r="A1990">
        <v>16682.352047498629</v>
      </c>
      <c r="B1990">
        <v>-290.76350871881004</v>
      </c>
    </row>
    <row r="1991" spans="1:2" x14ac:dyDescent="0.2">
      <c r="A1991">
        <v>1996.2456701456686</v>
      </c>
      <c r="B1991">
        <v>-290.76073786942288</v>
      </c>
    </row>
    <row r="1992" spans="1:2" x14ac:dyDescent="0.2">
      <c r="A1992">
        <v>12359.333394534478</v>
      </c>
      <c r="B1992">
        <v>-287.8959437822341</v>
      </c>
    </row>
    <row r="1993" spans="1:2" x14ac:dyDescent="0.2">
      <c r="A1993">
        <v>2189.0291988954996</v>
      </c>
      <c r="B1993">
        <v>-268.65278146753553</v>
      </c>
    </row>
    <row r="1994" spans="1:2" x14ac:dyDescent="0.2">
      <c r="A1994">
        <v>4520.56657162396</v>
      </c>
      <c r="B1994">
        <v>-264.89734946575481</v>
      </c>
    </row>
    <row r="1995" spans="1:2" x14ac:dyDescent="0.2">
      <c r="A1995">
        <v>11463.836945291085</v>
      </c>
      <c r="B1995">
        <v>-257.0786900986277</v>
      </c>
    </row>
    <row r="1996" spans="1:2" x14ac:dyDescent="0.2">
      <c r="A1996">
        <v>10038.275674854871</v>
      </c>
      <c r="B1996">
        <v>-247.33464082467253</v>
      </c>
    </row>
    <row r="1997" spans="1:2" x14ac:dyDescent="0.2">
      <c r="A1997">
        <v>1637.391664210445</v>
      </c>
      <c r="B1997">
        <v>-245.94546496166731</v>
      </c>
    </row>
    <row r="1998" spans="1:2" x14ac:dyDescent="0.2">
      <c r="A1998">
        <v>10318.762435647775</v>
      </c>
      <c r="B1998">
        <v>-239.7181825361331</v>
      </c>
    </row>
    <row r="1999" spans="1:2" x14ac:dyDescent="0.2">
      <c r="A1999">
        <v>-5780.9678848689655</v>
      </c>
      <c r="B1999">
        <v>-231.95000882743625</v>
      </c>
    </row>
    <row r="2000" spans="1:2" x14ac:dyDescent="0.2">
      <c r="A2000">
        <v>16199.987822066003</v>
      </c>
      <c r="B2000">
        <v>-224.79660475152195</v>
      </c>
    </row>
    <row r="2001" spans="1:2" x14ac:dyDescent="0.2">
      <c r="A2001">
        <v>-924.08074209984625</v>
      </c>
      <c r="B2001">
        <v>-216.99555177456932</v>
      </c>
    </row>
    <row r="2002" spans="1:2" x14ac:dyDescent="0.2">
      <c r="A2002">
        <v>838.44086757456535</v>
      </c>
      <c r="B2002">
        <v>-204.1230341696064</v>
      </c>
    </row>
    <row r="2003" spans="1:2" x14ac:dyDescent="0.2">
      <c r="A2003">
        <v>-8350.5221028874512</v>
      </c>
      <c r="B2003">
        <v>-199.7110296189785</v>
      </c>
    </row>
    <row r="2004" spans="1:2" x14ac:dyDescent="0.2">
      <c r="A2004">
        <v>-6782.5522330200765</v>
      </c>
      <c r="B2004">
        <v>-198.21335873458884</v>
      </c>
    </row>
    <row r="2005" spans="1:2" x14ac:dyDescent="0.2">
      <c r="A2005">
        <v>25900.353531433677</v>
      </c>
      <c r="B2005">
        <v>-190.33923359960318</v>
      </c>
    </row>
    <row r="2006" spans="1:2" x14ac:dyDescent="0.2">
      <c r="A2006">
        <v>-8635.0125458714319</v>
      </c>
      <c r="B2006">
        <v>-186.39314284716966</v>
      </c>
    </row>
    <row r="2007" spans="1:2" x14ac:dyDescent="0.2">
      <c r="A2007">
        <v>6387.7837636186159</v>
      </c>
      <c r="B2007">
        <v>-179.99861107153993</v>
      </c>
    </row>
    <row r="2008" spans="1:2" x14ac:dyDescent="0.2">
      <c r="A2008">
        <v>2511.78347303177</v>
      </c>
      <c r="B2008">
        <v>-176.49982066146913</v>
      </c>
    </row>
    <row r="2009" spans="1:2" x14ac:dyDescent="0.2">
      <c r="A2009">
        <v>61.888450495374855</v>
      </c>
      <c r="B2009">
        <v>-169.46741518119234</v>
      </c>
    </row>
    <row r="2010" spans="1:2" x14ac:dyDescent="0.2">
      <c r="A2010">
        <v>-828.6692412479606</v>
      </c>
      <c r="B2010">
        <v>-161.93230335455155</v>
      </c>
    </row>
    <row r="2011" spans="1:2" x14ac:dyDescent="0.2">
      <c r="A2011">
        <v>1195.4669448788627</v>
      </c>
      <c r="B2011">
        <v>-154.53080324252369</v>
      </c>
    </row>
    <row r="2012" spans="1:2" x14ac:dyDescent="0.2">
      <c r="A2012">
        <v>11141.830750236695</v>
      </c>
      <c r="B2012">
        <v>-150.05015289466246</v>
      </c>
    </row>
    <row r="2013" spans="1:2" x14ac:dyDescent="0.2">
      <c r="A2013">
        <v>2374.2085274090059</v>
      </c>
      <c r="B2013">
        <v>-139.4753138741944</v>
      </c>
    </row>
    <row r="2014" spans="1:2" x14ac:dyDescent="0.2">
      <c r="A2014">
        <v>8242.3605858265073</v>
      </c>
      <c r="B2014">
        <v>-139.19785186747322</v>
      </c>
    </row>
    <row r="2015" spans="1:2" x14ac:dyDescent="0.2">
      <c r="A2015">
        <v>-6328.981304842222</v>
      </c>
      <c r="B2015">
        <v>-136.38955219154013</v>
      </c>
    </row>
    <row r="2016" spans="1:2" x14ac:dyDescent="0.2">
      <c r="A2016">
        <v>-13825.893770923489</v>
      </c>
      <c r="B2016">
        <v>-123.81682085432112</v>
      </c>
    </row>
    <row r="2017" spans="1:2" x14ac:dyDescent="0.2">
      <c r="A2017">
        <v>12843.206398119786</v>
      </c>
      <c r="B2017">
        <v>-115.94737963977968</v>
      </c>
    </row>
    <row r="2018" spans="1:2" x14ac:dyDescent="0.2">
      <c r="A2018">
        <v>-1886.2469385680743</v>
      </c>
      <c r="B2018">
        <v>-114.87769292169833</v>
      </c>
    </row>
    <row r="2019" spans="1:2" x14ac:dyDescent="0.2">
      <c r="A2019">
        <v>-11425.209614799416</v>
      </c>
      <c r="B2019">
        <v>-114.58659186324803</v>
      </c>
    </row>
    <row r="2020" spans="1:2" x14ac:dyDescent="0.2">
      <c r="A2020">
        <v>4179.8037208157184</v>
      </c>
      <c r="B2020">
        <v>-87.560710954450769</v>
      </c>
    </row>
    <row r="2021" spans="1:2" x14ac:dyDescent="0.2">
      <c r="A2021">
        <v>-15212.315843748278</v>
      </c>
      <c r="B2021">
        <v>-87.114600424596574</v>
      </c>
    </row>
    <row r="2022" spans="1:2" x14ac:dyDescent="0.2">
      <c r="A2022">
        <v>8794.1070749203209</v>
      </c>
      <c r="B2022">
        <v>-84.03454450564459</v>
      </c>
    </row>
    <row r="2023" spans="1:2" x14ac:dyDescent="0.2">
      <c r="A2023">
        <v>4057.2677739188657</v>
      </c>
      <c r="B2023">
        <v>-83.902126509812661</v>
      </c>
    </row>
    <row r="2024" spans="1:2" x14ac:dyDescent="0.2">
      <c r="A2024">
        <v>-1383.2324119355762</v>
      </c>
      <c r="B2024">
        <v>-73.364550661644898</v>
      </c>
    </row>
    <row r="2025" spans="1:2" x14ac:dyDescent="0.2">
      <c r="A2025">
        <v>7102.3989953020937</v>
      </c>
      <c r="B2025">
        <v>-68.855641812115209</v>
      </c>
    </row>
    <row r="2026" spans="1:2" x14ac:dyDescent="0.2">
      <c r="A2026">
        <v>-5937.7418676833331</v>
      </c>
      <c r="B2026">
        <v>-64.670140122470912</v>
      </c>
    </row>
    <row r="2027" spans="1:2" x14ac:dyDescent="0.2">
      <c r="A2027">
        <v>-6338.984506681154</v>
      </c>
      <c r="B2027">
        <v>-63.846913262095768</v>
      </c>
    </row>
    <row r="2028" spans="1:2" x14ac:dyDescent="0.2">
      <c r="A2028">
        <v>17908.636642456753</v>
      </c>
      <c r="B2028">
        <v>-62.343007356685121</v>
      </c>
    </row>
    <row r="2029" spans="1:2" x14ac:dyDescent="0.2">
      <c r="A2029">
        <v>-4076.984021054639</v>
      </c>
      <c r="B2029">
        <v>-61.071371586876921</v>
      </c>
    </row>
    <row r="2030" spans="1:2" x14ac:dyDescent="0.2">
      <c r="A2030">
        <v>648.84528095569112</v>
      </c>
      <c r="B2030">
        <v>-59.848838601959869</v>
      </c>
    </row>
    <row r="2031" spans="1:2" x14ac:dyDescent="0.2">
      <c r="A2031">
        <v>2685.4536713245616</v>
      </c>
      <c r="B2031">
        <v>-53.117841753526591</v>
      </c>
    </row>
    <row r="2032" spans="1:2" x14ac:dyDescent="0.2">
      <c r="A2032">
        <v>1483.3798532990622</v>
      </c>
      <c r="B2032">
        <v>-52.333118279537302</v>
      </c>
    </row>
    <row r="2033" spans="1:2" x14ac:dyDescent="0.2">
      <c r="A2033">
        <v>13821.645204965491</v>
      </c>
      <c r="B2033">
        <v>-52.068122594733723</v>
      </c>
    </row>
    <row r="2034" spans="1:2" x14ac:dyDescent="0.2">
      <c r="A2034">
        <v>-9884.7849366440205</v>
      </c>
      <c r="B2034">
        <v>-40.874438023834955</v>
      </c>
    </row>
    <row r="2035" spans="1:2" x14ac:dyDescent="0.2">
      <c r="A2035">
        <v>1135.4538837783621</v>
      </c>
      <c r="B2035">
        <v>-35.563108461588854</v>
      </c>
    </row>
    <row r="2036" spans="1:2" x14ac:dyDescent="0.2">
      <c r="A2036">
        <v>7941.6200264497893</v>
      </c>
      <c r="B2036">
        <v>-30.92167019948829</v>
      </c>
    </row>
    <row r="2037" spans="1:2" x14ac:dyDescent="0.2">
      <c r="A2037">
        <v>-3342.10334787381</v>
      </c>
      <c r="B2037">
        <v>-26.967731689277571</v>
      </c>
    </row>
    <row r="2038" spans="1:2" x14ac:dyDescent="0.2">
      <c r="A2038">
        <v>3144.388440094277</v>
      </c>
      <c r="B2038">
        <v>-22.607055354688782</v>
      </c>
    </row>
    <row r="2039" spans="1:2" x14ac:dyDescent="0.2">
      <c r="A2039">
        <v>-14406.001339307521</v>
      </c>
      <c r="B2039">
        <v>-15.37379627651535</v>
      </c>
    </row>
    <row r="2040" spans="1:2" x14ac:dyDescent="0.2">
      <c r="A2040">
        <v>-6334.7640346612025</v>
      </c>
      <c r="B2040">
        <v>-12.353673748701112</v>
      </c>
    </row>
    <row r="2041" spans="1:2" x14ac:dyDescent="0.2">
      <c r="A2041">
        <v>-37861.932975464617</v>
      </c>
      <c r="B2041">
        <v>-10.720868676376995</v>
      </c>
    </row>
    <row r="2042" spans="1:2" x14ac:dyDescent="0.2">
      <c r="A2042">
        <v>14430.279670931835</v>
      </c>
      <c r="B2042">
        <v>-10.606699780590134</v>
      </c>
    </row>
    <row r="2043" spans="1:2" x14ac:dyDescent="0.2">
      <c r="A2043">
        <v>6336.7251064129814</v>
      </c>
      <c r="B2043">
        <v>-10.080080950152478</v>
      </c>
    </row>
    <row r="2044" spans="1:2" x14ac:dyDescent="0.2">
      <c r="A2044">
        <v>-14150.762517767842</v>
      </c>
      <c r="B2044">
        <v>-2.6112492707325146</v>
      </c>
    </row>
    <row r="2045" spans="1:2" x14ac:dyDescent="0.2">
      <c r="A2045">
        <v>7039.2733826733311</v>
      </c>
      <c r="B2045">
        <v>13.212278194638202</v>
      </c>
    </row>
    <row r="2046" spans="1:2" x14ac:dyDescent="0.2">
      <c r="A2046">
        <v>4486.4323496166617</v>
      </c>
      <c r="B2046">
        <v>18.252002833120059</v>
      </c>
    </row>
    <row r="2047" spans="1:2" x14ac:dyDescent="0.2">
      <c r="A2047">
        <v>10184.351640156936</v>
      </c>
      <c r="B2047">
        <v>18.75003826757893</v>
      </c>
    </row>
    <row r="2048" spans="1:2" x14ac:dyDescent="0.2">
      <c r="A2048">
        <v>1383.1232558668707</v>
      </c>
      <c r="B2048">
        <v>20.596212389122229</v>
      </c>
    </row>
    <row r="2049" spans="1:2" x14ac:dyDescent="0.2">
      <c r="A2049">
        <v>2742.434818702226</v>
      </c>
      <c r="B2049">
        <v>22.714887518261094</v>
      </c>
    </row>
    <row r="2050" spans="1:2" x14ac:dyDescent="0.2">
      <c r="A2050">
        <v>5238.4352146290476</v>
      </c>
      <c r="B2050">
        <v>35.736805754480883</v>
      </c>
    </row>
    <row r="2051" spans="1:2" x14ac:dyDescent="0.2">
      <c r="A2051">
        <v>-19897.167686350527</v>
      </c>
      <c r="B2051">
        <v>50.028328504471574</v>
      </c>
    </row>
    <row r="2052" spans="1:2" x14ac:dyDescent="0.2">
      <c r="A2052">
        <v>2821.5405373988033</v>
      </c>
      <c r="B2052">
        <v>55.490076542366296</v>
      </c>
    </row>
    <row r="2053" spans="1:2" x14ac:dyDescent="0.2">
      <c r="A2053">
        <v>21448.997829739645</v>
      </c>
      <c r="B2053">
        <v>55.932661591185024</v>
      </c>
    </row>
    <row r="2054" spans="1:2" x14ac:dyDescent="0.2">
      <c r="A2054">
        <v>7857.2649190069933</v>
      </c>
      <c r="B2054">
        <v>55.978432459174655</v>
      </c>
    </row>
    <row r="2055" spans="1:2" x14ac:dyDescent="0.2">
      <c r="A2055">
        <v>-10620.114828021498</v>
      </c>
      <c r="B2055">
        <v>61.888450495374855</v>
      </c>
    </row>
    <row r="2056" spans="1:2" x14ac:dyDescent="0.2">
      <c r="A2056">
        <v>-10004.73139351618</v>
      </c>
      <c r="B2056">
        <v>68.50355240542558</v>
      </c>
    </row>
    <row r="2057" spans="1:2" x14ac:dyDescent="0.2">
      <c r="A2057">
        <v>12653.175848040613</v>
      </c>
      <c r="B2057">
        <v>77.896061714738607</v>
      </c>
    </row>
    <row r="2058" spans="1:2" x14ac:dyDescent="0.2">
      <c r="A2058">
        <v>3442.7325011645444</v>
      </c>
      <c r="B2058">
        <v>87.342213439987972</v>
      </c>
    </row>
    <row r="2059" spans="1:2" x14ac:dyDescent="0.2">
      <c r="A2059">
        <v>293.44619917147793</v>
      </c>
      <c r="B2059">
        <v>91.915428350795992</v>
      </c>
    </row>
    <row r="2060" spans="1:2" x14ac:dyDescent="0.2">
      <c r="A2060">
        <v>-12966.831717588793</v>
      </c>
      <c r="B2060">
        <v>99.3010248055798</v>
      </c>
    </row>
    <row r="2061" spans="1:2" x14ac:dyDescent="0.2">
      <c r="A2061">
        <v>4955.4245192636154</v>
      </c>
      <c r="B2061">
        <v>101.74116780189797</v>
      </c>
    </row>
    <row r="2062" spans="1:2" x14ac:dyDescent="0.2">
      <c r="A2062">
        <v>-749.32198904117104</v>
      </c>
      <c r="B2062">
        <v>106.24251306225779</v>
      </c>
    </row>
    <row r="2063" spans="1:2" x14ac:dyDescent="0.2">
      <c r="A2063">
        <v>3701.3601266120095</v>
      </c>
      <c r="B2063">
        <v>110.71127384714782</v>
      </c>
    </row>
    <row r="2064" spans="1:2" x14ac:dyDescent="0.2">
      <c r="A2064">
        <v>7535.6502345981717</v>
      </c>
      <c r="B2064">
        <v>115.47994542712695</v>
      </c>
    </row>
    <row r="2065" spans="1:2" x14ac:dyDescent="0.2">
      <c r="A2065">
        <v>-9180.9679090761347</v>
      </c>
      <c r="B2065">
        <v>120.71268087864155</v>
      </c>
    </row>
    <row r="2066" spans="1:2" x14ac:dyDescent="0.2">
      <c r="A2066">
        <v>-290.76350871881004</v>
      </c>
      <c r="B2066">
        <v>121.84592482045991</v>
      </c>
    </row>
    <row r="2067" spans="1:2" x14ac:dyDescent="0.2">
      <c r="A2067">
        <v>20069.356572349439</v>
      </c>
      <c r="B2067">
        <v>132.1349011225102</v>
      </c>
    </row>
    <row r="2068" spans="1:2" x14ac:dyDescent="0.2">
      <c r="A2068">
        <v>6230.9372513220005</v>
      </c>
      <c r="B2068">
        <v>133.86288594777579</v>
      </c>
    </row>
    <row r="2069" spans="1:2" x14ac:dyDescent="0.2">
      <c r="A2069">
        <v>25323.696665850293</v>
      </c>
      <c r="B2069">
        <v>139.95182265812764</v>
      </c>
    </row>
    <row r="2070" spans="1:2" x14ac:dyDescent="0.2">
      <c r="A2070">
        <v>-3027.1203662028129</v>
      </c>
      <c r="B2070">
        <v>144.13793266064022</v>
      </c>
    </row>
    <row r="2071" spans="1:2" x14ac:dyDescent="0.2">
      <c r="A2071">
        <v>7191.3624312312459</v>
      </c>
      <c r="B2071">
        <v>149.44071831987821</v>
      </c>
    </row>
    <row r="2072" spans="1:2" x14ac:dyDescent="0.2">
      <c r="A2072">
        <v>8448.4472936017264</v>
      </c>
      <c r="B2072">
        <v>155.83851687403512</v>
      </c>
    </row>
    <row r="2073" spans="1:2" x14ac:dyDescent="0.2">
      <c r="A2073">
        <v>3497.2339641099679</v>
      </c>
      <c r="B2073">
        <v>170.55081032385351</v>
      </c>
    </row>
    <row r="2074" spans="1:2" x14ac:dyDescent="0.2">
      <c r="A2074">
        <v>-4273.7640405796701</v>
      </c>
      <c r="B2074">
        <v>172.18038840428926</v>
      </c>
    </row>
    <row r="2075" spans="1:2" x14ac:dyDescent="0.2">
      <c r="A2075">
        <v>1521.1780976782902</v>
      </c>
      <c r="B2075">
        <v>178.95796135131968</v>
      </c>
    </row>
    <row r="2076" spans="1:2" x14ac:dyDescent="0.2">
      <c r="A2076">
        <v>5052.0581109675113</v>
      </c>
      <c r="B2076">
        <v>186.59823323774617</v>
      </c>
    </row>
    <row r="2077" spans="1:2" x14ac:dyDescent="0.2">
      <c r="A2077">
        <v>16721.749349471211</v>
      </c>
      <c r="B2077">
        <v>186.67270376690431</v>
      </c>
    </row>
    <row r="2078" spans="1:2" x14ac:dyDescent="0.2">
      <c r="A2078">
        <v>10170.521772620385</v>
      </c>
      <c r="B2078">
        <v>190.08717456462909</v>
      </c>
    </row>
    <row r="2079" spans="1:2" x14ac:dyDescent="0.2">
      <c r="A2079">
        <v>-16332.545408701058</v>
      </c>
      <c r="B2079">
        <v>192.07199069901253</v>
      </c>
    </row>
    <row r="2080" spans="1:2" x14ac:dyDescent="0.2">
      <c r="A2080">
        <v>-2208.4808043566882</v>
      </c>
      <c r="B2080">
        <v>199.24670986476121</v>
      </c>
    </row>
    <row r="2081" spans="1:2" x14ac:dyDescent="0.2">
      <c r="A2081">
        <v>-12961.193044500658</v>
      </c>
      <c r="B2081">
        <v>211.91983426871593</v>
      </c>
    </row>
    <row r="2082" spans="1:2" x14ac:dyDescent="0.2">
      <c r="A2082">
        <v>15856.258992853225</v>
      </c>
      <c r="B2082">
        <v>217.34249100179295</v>
      </c>
    </row>
    <row r="2083" spans="1:2" x14ac:dyDescent="0.2">
      <c r="A2083">
        <v>-633.93488718188019</v>
      </c>
      <c r="B2083">
        <v>218.1664945735829</v>
      </c>
    </row>
    <row r="2084" spans="1:2" x14ac:dyDescent="0.2">
      <c r="A2084">
        <v>-3279.8278153694991</v>
      </c>
      <c r="B2084">
        <v>220.45919933175901</v>
      </c>
    </row>
    <row r="2085" spans="1:2" x14ac:dyDescent="0.2">
      <c r="A2085">
        <v>-835.99290698484401</v>
      </c>
      <c r="B2085">
        <v>228.27040665378445</v>
      </c>
    </row>
    <row r="2086" spans="1:2" x14ac:dyDescent="0.2">
      <c r="A2086">
        <v>2944.0847570765181</v>
      </c>
      <c r="B2086">
        <v>231.40407357437653</v>
      </c>
    </row>
    <row r="2087" spans="1:2" x14ac:dyDescent="0.2">
      <c r="A2087">
        <v>-19474.923110227886</v>
      </c>
      <c r="B2087">
        <v>236.56894817959983</v>
      </c>
    </row>
    <row r="2088" spans="1:2" x14ac:dyDescent="0.2">
      <c r="A2088">
        <v>13979.980146374204</v>
      </c>
      <c r="B2088">
        <v>247.99593183709658</v>
      </c>
    </row>
    <row r="2089" spans="1:2" x14ac:dyDescent="0.2">
      <c r="A2089">
        <v>-690.20010417330195</v>
      </c>
      <c r="B2089">
        <v>249.41988460021093</v>
      </c>
    </row>
    <row r="2090" spans="1:2" x14ac:dyDescent="0.2">
      <c r="A2090">
        <v>-1081.5351792947622</v>
      </c>
      <c r="B2090">
        <v>251.09683375695022</v>
      </c>
    </row>
    <row r="2091" spans="1:2" x14ac:dyDescent="0.2">
      <c r="A2091">
        <v>-7027.8173978315317</v>
      </c>
      <c r="B2091">
        <v>265.59407498320797</v>
      </c>
    </row>
    <row r="2092" spans="1:2" x14ac:dyDescent="0.2">
      <c r="A2092">
        <v>7669.9043391260493</v>
      </c>
      <c r="B2092">
        <v>273.05702676516376</v>
      </c>
    </row>
    <row r="2093" spans="1:2" x14ac:dyDescent="0.2">
      <c r="A2093">
        <v>1931.1038774098852</v>
      </c>
      <c r="B2093">
        <v>273.08347996344673</v>
      </c>
    </row>
    <row r="2094" spans="1:2" x14ac:dyDescent="0.2">
      <c r="A2094">
        <v>1988.941042278544</v>
      </c>
      <c r="B2094">
        <v>289.36076920060441</v>
      </c>
    </row>
    <row r="2095" spans="1:2" x14ac:dyDescent="0.2">
      <c r="A2095">
        <v>9702.3116836550762</v>
      </c>
      <c r="B2095">
        <v>290.73682023887523</v>
      </c>
    </row>
    <row r="2096" spans="1:2" x14ac:dyDescent="0.2">
      <c r="A2096">
        <v>1356.8623403137899</v>
      </c>
      <c r="B2096">
        <v>291.82752843701746</v>
      </c>
    </row>
    <row r="2097" spans="1:2" x14ac:dyDescent="0.2">
      <c r="A2097">
        <v>-12787.607327503152</v>
      </c>
      <c r="B2097">
        <v>293.44619917147793</v>
      </c>
    </row>
    <row r="2098" spans="1:2" x14ac:dyDescent="0.2">
      <c r="A2098">
        <v>13519.53208652485</v>
      </c>
      <c r="B2098">
        <v>301.52781300951028</v>
      </c>
    </row>
    <row r="2099" spans="1:2" x14ac:dyDescent="0.2">
      <c r="A2099">
        <v>2093.1920873806521</v>
      </c>
      <c r="B2099">
        <v>302.41295063469443</v>
      </c>
    </row>
    <row r="2100" spans="1:2" x14ac:dyDescent="0.2">
      <c r="A2100">
        <v>-13356.448001365177</v>
      </c>
      <c r="B2100">
        <v>305.39360659805243</v>
      </c>
    </row>
    <row r="2101" spans="1:2" x14ac:dyDescent="0.2">
      <c r="A2101">
        <v>11486.873912367009</v>
      </c>
      <c r="B2101">
        <v>305.72525971758296</v>
      </c>
    </row>
    <row r="2102" spans="1:2" x14ac:dyDescent="0.2">
      <c r="A2102">
        <v>1732.2625281363726</v>
      </c>
      <c r="B2102">
        <v>311.5222536981164</v>
      </c>
    </row>
    <row r="2103" spans="1:2" x14ac:dyDescent="0.2">
      <c r="A2103">
        <v>4621.2787435489008</v>
      </c>
      <c r="B2103">
        <v>312.82128289571847</v>
      </c>
    </row>
    <row r="2104" spans="1:2" x14ac:dyDescent="0.2">
      <c r="A2104">
        <v>12638.937644679943</v>
      </c>
      <c r="B2104">
        <v>317.30331338485121</v>
      </c>
    </row>
    <row r="2105" spans="1:2" x14ac:dyDescent="0.2">
      <c r="A2105">
        <v>8884.8080718285928</v>
      </c>
      <c r="B2105">
        <v>318.26857667899458</v>
      </c>
    </row>
    <row r="2106" spans="1:2" x14ac:dyDescent="0.2">
      <c r="A2106">
        <v>4926.58560427255</v>
      </c>
      <c r="B2106">
        <v>319.28681061652605</v>
      </c>
    </row>
    <row r="2107" spans="1:2" x14ac:dyDescent="0.2">
      <c r="A2107">
        <v>12468.530152308231</v>
      </c>
      <c r="B2107">
        <v>319.91615123732481</v>
      </c>
    </row>
    <row r="2108" spans="1:2" x14ac:dyDescent="0.2">
      <c r="A2108">
        <v>1682.7955810615676</v>
      </c>
      <c r="B2108">
        <v>321.21962440406787</v>
      </c>
    </row>
    <row r="2109" spans="1:2" x14ac:dyDescent="0.2">
      <c r="A2109">
        <v>-5875.4428161457763</v>
      </c>
      <c r="B2109">
        <v>337.23881195162539</v>
      </c>
    </row>
    <row r="2110" spans="1:2" x14ac:dyDescent="0.2">
      <c r="A2110">
        <v>-22341.504843379313</v>
      </c>
      <c r="B2110">
        <v>342.38908015689231</v>
      </c>
    </row>
    <row r="2111" spans="1:2" x14ac:dyDescent="0.2">
      <c r="A2111">
        <v>-15993.800267078128</v>
      </c>
      <c r="B2111">
        <v>347.30857869726606</v>
      </c>
    </row>
    <row r="2112" spans="1:2" x14ac:dyDescent="0.2">
      <c r="A2112">
        <v>2013.76466786128</v>
      </c>
      <c r="B2112">
        <v>348.03923288200167</v>
      </c>
    </row>
    <row r="2113" spans="1:2" x14ac:dyDescent="0.2">
      <c r="A2113">
        <v>5035.7951009703393</v>
      </c>
      <c r="B2113">
        <v>349.86376954859588</v>
      </c>
    </row>
    <row r="2114" spans="1:2" x14ac:dyDescent="0.2">
      <c r="A2114">
        <v>-2425.4853427803901</v>
      </c>
      <c r="B2114">
        <v>353.94093881687149</v>
      </c>
    </row>
    <row r="2115" spans="1:2" x14ac:dyDescent="0.2">
      <c r="A2115">
        <v>4578.9604869658942</v>
      </c>
      <c r="B2115">
        <v>363.02081322824233</v>
      </c>
    </row>
    <row r="2116" spans="1:2" x14ac:dyDescent="0.2">
      <c r="A2116">
        <v>7583.1662389238772</v>
      </c>
      <c r="B2116">
        <v>364.13143070411752</v>
      </c>
    </row>
    <row r="2117" spans="1:2" x14ac:dyDescent="0.2">
      <c r="A2117">
        <v>-8160.5256695395219</v>
      </c>
      <c r="B2117">
        <v>365.36984080797993</v>
      </c>
    </row>
    <row r="2118" spans="1:2" x14ac:dyDescent="0.2">
      <c r="A2118">
        <v>-7057.4938376107602</v>
      </c>
      <c r="B2118">
        <v>376.9426233843551</v>
      </c>
    </row>
    <row r="2119" spans="1:2" x14ac:dyDescent="0.2">
      <c r="A2119">
        <v>5064.5396222136333</v>
      </c>
      <c r="B2119">
        <v>392.42444660273031</v>
      </c>
    </row>
    <row r="2120" spans="1:2" x14ac:dyDescent="0.2">
      <c r="A2120">
        <v>-1347.6675743763335</v>
      </c>
      <c r="B2120">
        <v>393.74502440885408</v>
      </c>
    </row>
    <row r="2121" spans="1:2" x14ac:dyDescent="0.2">
      <c r="A2121">
        <v>-12381.340983090282</v>
      </c>
      <c r="B2121">
        <v>398.16865560624865</v>
      </c>
    </row>
    <row r="2122" spans="1:2" x14ac:dyDescent="0.2">
      <c r="A2122">
        <v>3012.061826899444</v>
      </c>
      <c r="B2122">
        <v>398.33629352628486</v>
      </c>
    </row>
    <row r="2123" spans="1:2" x14ac:dyDescent="0.2">
      <c r="A2123">
        <v>-7330.3557101126062</v>
      </c>
      <c r="B2123">
        <v>409.45236410576035</v>
      </c>
    </row>
    <row r="2124" spans="1:2" x14ac:dyDescent="0.2">
      <c r="A2124">
        <v>19111.415225889999</v>
      </c>
      <c r="B2124">
        <v>421.06893986827345</v>
      </c>
    </row>
    <row r="2125" spans="1:2" x14ac:dyDescent="0.2">
      <c r="A2125">
        <v>-8540.971269469359</v>
      </c>
      <c r="B2125">
        <v>423.16230857925257</v>
      </c>
    </row>
    <row r="2126" spans="1:2" x14ac:dyDescent="0.2">
      <c r="A2126">
        <v>-2196.3482170737989</v>
      </c>
      <c r="B2126">
        <v>426.47474559835973</v>
      </c>
    </row>
    <row r="2127" spans="1:2" x14ac:dyDescent="0.2">
      <c r="A2127">
        <v>-2569.8907973801834</v>
      </c>
      <c r="B2127">
        <v>427.97117008132045</v>
      </c>
    </row>
    <row r="2128" spans="1:2" x14ac:dyDescent="0.2">
      <c r="A2128">
        <v>1919.5944644103874</v>
      </c>
      <c r="B2128">
        <v>430.1980746081972</v>
      </c>
    </row>
    <row r="2129" spans="1:2" x14ac:dyDescent="0.2">
      <c r="A2129">
        <v>-809.53752341907239</v>
      </c>
      <c r="B2129">
        <v>432.56039518804755</v>
      </c>
    </row>
    <row r="2130" spans="1:2" x14ac:dyDescent="0.2">
      <c r="A2130">
        <v>-2392.9701104993292</v>
      </c>
      <c r="B2130">
        <v>435.11780108709354</v>
      </c>
    </row>
    <row r="2131" spans="1:2" x14ac:dyDescent="0.2">
      <c r="A2131">
        <v>-16870.364600055676</v>
      </c>
      <c r="B2131">
        <v>435.76169944115099</v>
      </c>
    </row>
    <row r="2132" spans="1:2" x14ac:dyDescent="0.2">
      <c r="A2132">
        <v>-8158.1653795974562</v>
      </c>
      <c r="B2132">
        <v>436.98115218133898</v>
      </c>
    </row>
    <row r="2133" spans="1:2" x14ac:dyDescent="0.2">
      <c r="A2133">
        <v>1246.760877646273</v>
      </c>
      <c r="B2133">
        <v>441.00673298083711</v>
      </c>
    </row>
    <row r="2134" spans="1:2" x14ac:dyDescent="0.2">
      <c r="A2134">
        <v>398.16865560624865</v>
      </c>
      <c r="B2134">
        <v>445.34119833112345</v>
      </c>
    </row>
    <row r="2135" spans="1:2" x14ac:dyDescent="0.2">
      <c r="A2135">
        <v>1399.1987125184387</v>
      </c>
      <c r="B2135">
        <v>448.79599523072829</v>
      </c>
    </row>
    <row r="2136" spans="1:2" x14ac:dyDescent="0.2">
      <c r="A2136">
        <v>1741.1681786378613</v>
      </c>
      <c r="B2136">
        <v>448.92386469262419</v>
      </c>
    </row>
    <row r="2137" spans="1:2" x14ac:dyDescent="0.2">
      <c r="A2137">
        <v>10158.133012263075</v>
      </c>
      <c r="B2137">
        <v>451.49008049783879</v>
      </c>
    </row>
    <row r="2138" spans="1:2" x14ac:dyDescent="0.2">
      <c r="A2138">
        <v>11537.38916725936</v>
      </c>
      <c r="B2138">
        <v>455.58612238423666</v>
      </c>
    </row>
    <row r="2139" spans="1:2" x14ac:dyDescent="0.2">
      <c r="A2139">
        <v>-7207.0278288378904</v>
      </c>
      <c r="B2139">
        <v>464.52842032222543</v>
      </c>
    </row>
    <row r="2140" spans="1:2" x14ac:dyDescent="0.2">
      <c r="A2140">
        <v>8348.3994304625667</v>
      </c>
      <c r="B2140">
        <v>465.79268001942546</v>
      </c>
    </row>
    <row r="2141" spans="1:2" x14ac:dyDescent="0.2">
      <c r="A2141">
        <v>-10661.862346251786</v>
      </c>
      <c r="B2141">
        <v>468.76706346526043</v>
      </c>
    </row>
    <row r="2142" spans="1:2" x14ac:dyDescent="0.2">
      <c r="A2142">
        <v>2219.7501518589852</v>
      </c>
      <c r="B2142">
        <v>471.73627386000589</v>
      </c>
    </row>
    <row r="2143" spans="1:2" x14ac:dyDescent="0.2">
      <c r="A2143">
        <v>10056.405045083317</v>
      </c>
      <c r="B2143">
        <v>476.99089944930165</v>
      </c>
    </row>
    <row r="2144" spans="1:2" x14ac:dyDescent="0.2">
      <c r="A2144">
        <v>4277.8163215875975</v>
      </c>
      <c r="B2144">
        <v>477.20827439631103</v>
      </c>
    </row>
    <row r="2145" spans="1:2" x14ac:dyDescent="0.2">
      <c r="A2145">
        <v>-696.56239369529067</v>
      </c>
      <c r="B2145">
        <v>477.45424717263086</v>
      </c>
    </row>
    <row r="2146" spans="1:2" x14ac:dyDescent="0.2">
      <c r="A2146">
        <v>-18382.822792516672</v>
      </c>
      <c r="B2146">
        <v>481.1371037633071</v>
      </c>
    </row>
    <row r="2147" spans="1:2" x14ac:dyDescent="0.2">
      <c r="A2147">
        <v>4332.5326507054269</v>
      </c>
      <c r="B2147">
        <v>483.34107881196542</v>
      </c>
    </row>
    <row r="2148" spans="1:2" x14ac:dyDescent="0.2">
      <c r="A2148">
        <v>-4316.5350624636631</v>
      </c>
      <c r="B2148">
        <v>484.76990379526978</v>
      </c>
    </row>
    <row r="2149" spans="1:2" x14ac:dyDescent="0.2">
      <c r="A2149">
        <v>-3141.3649063302437</v>
      </c>
      <c r="B2149">
        <v>484.92313146102242</v>
      </c>
    </row>
    <row r="2150" spans="1:2" x14ac:dyDescent="0.2">
      <c r="A2150">
        <v>-9653.0981001570472</v>
      </c>
      <c r="B2150">
        <v>487.54740776729886</v>
      </c>
    </row>
    <row r="2151" spans="1:2" x14ac:dyDescent="0.2">
      <c r="A2151">
        <v>10402.987691258139</v>
      </c>
      <c r="B2151">
        <v>488.94030219357228</v>
      </c>
    </row>
    <row r="2152" spans="1:2" x14ac:dyDescent="0.2">
      <c r="A2152">
        <v>-2091.4062651555287</v>
      </c>
      <c r="B2152">
        <v>492.48556006787112</v>
      </c>
    </row>
    <row r="2153" spans="1:2" x14ac:dyDescent="0.2">
      <c r="A2153">
        <v>-13649.007314239963</v>
      </c>
      <c r="B2153">
        <v>493.74239467945881</v>
      </c>
    </row>
    <row r="2154" spans="1:2" x14ac:dyDescent="0.2">
      <c r="A2154">
        <v>-21118.997061780305</v>
      </c>
      <c r="B2154">
        <v>493.87486688498757</v>
      </c>
    </row>
    <row r="2155" spans="1:2" x14ac:dyDescent="0.2">
      <c r="A2155">
        <v>7461.0601086204988</v>
      </c>
      <c r="B2155">
        <v>494.37377768661827</v>
      </c>
    </row>
    <row r="2156" spans="1:2" x14ac:dyDescent="0.2">
      <c r="A2156">
        <v>578.48946284654085</v>
      </c>
      <c r="B2156">
        <v>495.6186416404671</v>
      </c>
    </row>
    <row r="2157" spans="1:2" x14ac:dyDescent="0.2">
      <c r="A2157">
        <v>2250.5665478678129</v>
      </c>
      <c r="B2157">
        <v>504.78534956125077</v>
      </c>
    </row>
    <row r="2158" spans="1:2" x14ac:dyDescent="0.2">
      <c r="A2158">
        <v>1479.0971817494719</v>
      </c>
      <c r="B2158">
        <v>507.14658532559406</v>
      </c>
    </row>
    <row r="2159" spans="1:2" x14ac:dyDescent="0.2">
      <c r="A2159">
        <v>-6314.316206770076</v>
      </c>
      <c r="B2159">
        <v>507.98359065089608</v>
      </c>
    </row>
    <row r="2160" spans="1:2" x14ac:dyDescent="0.2">
      <c r="A2160">
        <v>-1723.7987738433876</v>
      </c>
      <c r="B2160">
        <v>520.3954687663645</v>
      </c>
    </row>
    <row r="2161" spans="1:2" x14ac:dyDescent="0.2">
      <c r="A2161">
        <v>9519.5027268624981</v>
      </c>
      <c r="B2161">
        <v>521.64178883266868</v>
      </c>
    </row>
    <row r="2162" spans="1:2" x14ac:dyDescent="0.2">
      <c r="A2162">
        <v>12449.436378864892</v>
      </c>
      <c r="B2162">
        <v>531.49415207235143</v>
      </c>
    </row>
    <row r="2163" spans="1:2" x14ac:dyDescent="0.2">
      <c r="A2163">
        <v>996.12984659880749</v>
      </c>
      <c r="B2163">
        <v>534.07603342828224</v>
      </c>
    </row>
    <row r="2164" spans="1:2" x14ac:dyDescent="0.2">
      <c r="A2164">
        <v>8516.3003383550677</v>
      </c>
      <c r="B2164">
        <v>538.89184972620569</v>
      </c>
    </row>
    <row r="2165" spans="1:2" x14ac:dyDescent="0.2">
      <c r="A2165">
        <v>-1846.6926306949463</v>
      </c>
      <c r="B2165">
        <v>540.71474306914024</v>
      </c>
    </row>
    <row r="2166" spans="1:2" x14ac:dyDescent="0.2">
      <c r="A2166">
        <v>1012.0171351991594</v>
      </c>
      <c r="B2166">
        <v>555.0212844296766</v>
      </c>
    </row>
    <row r="2167" spans="1:2" x14ac:dyDescent="0.2">
      <c r="A2167">
        <v>-10729.542752613372</v>
      </c>
      <c r="B2167">
        <v>558.19408248542459</v>
      </c>
    </row>
    <row r="2168" spans="1:2" x14ac:dyDescent="0.2">
      <c r="A2168">
        <v>3121.8795613657567</v>
      </c>
      <c r="B2168">
        <v>558.977902391518</v>
      </c>
    </row>
    <row r="2169" spans="1:2" x14ac:dyDescent="0.2">
      <c r="A2169">
        <v>7405.6062035457871</v>
      </c>
      <c r="B2169">
        <v>561.16972295683809</v>
      </c>
    </row>
    <row r="2170" spans="1:2" x14ac:dyDescent="0.2">
      <c r="A2170">
        <v>-8339.7063167002634</v>
      </c>
      <c r="B2170">
        <v>561.92362492159009</v>
      </c>
    </row>
    <row r="2171" spans="1:2" x14ac:dyDescent="0.2">
      <c r="A2171">
        <v>17621.218154463364</v>
      </c>
      <c r="B2171">
        <v>562.56775565393036</v>
      </c>
    </row>
    <row r="2172" spans="1:2" x14ac:dyDescent="0.2">
      <c r="A2172">
        <v>17874.939267152135</v>
      </c>
      <c r="B2172">
        <v>565.76426908839494</v>
      </c>
    </row>
    <row r="2173" spans="1:2" x14ac:dyDescent="0.2">
      <c r="A2173">
        <v>13362.918486877024</v>
      </c>
      <c r="B2173">
        <v>568.52911646783468</v>
      </c>
    </row>
    <row r="2174" spans="1:2" x14ac:dyDescent="0.2">
      <c r="A2174">
        <v>6655.9459827106621</v>
      </c>
      <c r="B2174">
        <v>571.81748795512249</v>
      </c>
    </row>
    <row r="2175" spans="1:2" x14ac:dyDescent="0.2">
      <c r="A2175">
        <v>13729.910233971023</v>
      </c>
      <c r="B2175">
        <v>577.26780466362834</v>
      </c>
    </row>
    <row r="2176" spans="1:2" x14ac:dyDescent="0.2">
      <c r="A2176">
        <v>4347.7519381807069</v>
      </c>
      <c r="B2176">
        <v>578.48946284654085</v>
      </c>
    </row>
    <row r="2177" spans="1:2" x14ac:dyDescent="0.2">
      <c r="A2177">
        <v>7781.6683769340452</v>
      </c>
      <c r="B2177">
        <v>579.85882486472838</v>
      </c>
    </row>
    <row r="2178" spans="1:2" x14ac:dyDescent="0.2">
      <c r="A2178">
        <v>-29970.578857491142</v>
      </c>
      <c r="B2178">
        <v>587.45891766613931</v>
      </c>
    </row>
    <row r="2179" spans="1:2" x14ac:dyDescent="0.2">
      <c r="A2179">
        <v>12299.72801120911</v>
      </c>
      <c r="B2179">
        <v>588.13377190718893</v>
      </c>
    </row>
    <row r="2180" spans="1:2" x14ac:dyDescent="0.2">
      <c r="A2180">
        <v>6647.85882820189</v>
      </c>
      <c r="B2180">
        <v>596.90951491805026</v>
      </c>
    </row>
    <row r="2181" spans="1:2" x14ac:dyDescent="0.2">
      <c r="A2181">
        <v>-414.06711481633829</v>
      </c>
      <c r="B2181">
        <v>598.89930497543537</v>
      </c>
    </row>
    <row r="2182" spans="1:2" x14ac:dyDescent="0.2">
      <c r="A2182">
        <v>16694.393490871735</v>
      </c>
      <c r="B2182">
        <v>608.42803261260269</v>
      </c>
    </row>
    <row r="2183" spans="1:2" x14ac:dyDescent="0.2">
      <c r="A2183">
        <v>946.8718893827172</v>
      </c>
      <c r="B2183">
        <v>616.1077055108035</v>
      </c>
    </row>
    <row r="2184" spans="1:2" x14ac:dyDescent="0.2">
      <c r="A2184">
        <v>6309.6043782193447</v>
      </c>
      <c r="B2184">
        <v>621.13273938623024</v>
      </c>
    </row>
    <row r="2185" spans="1:2" x14ac:dyDescent="0.2">
      <c r="A2185">
        <v>7479.8918978242436</v>
      </c>
      <c r="B2185">
        <v>621.41719566413667</v>
      </c>
    </row>
    <row r="2186" spans="1:2" x14ac:dyDescent="0.2">
      <c r="A2186">
        <v>-2755.1410097570624</v>
      </c>
      <c r="B2186">
        <v>638.17642188668833</v>
      </c>
    </row>
    <row r="2187" spans="1:2" x14ac:dyDescent="0.2">
      <c r="A2187">
        <v>4848.0118427588604</v>
      </c>
      <c r="B2187">
        <v>638.31357318215305</v>
      </c>
    </row>
    <row r="2188" spans="1:2" x14ac:dyDescent="0.2">
      <c r="A2188">
        <v>11661.955942077271</v>
      </c>
      <c r="B2188">
        <v>643.91986208874732</v>
      </c>
    </row>
    <row r="2189" spans="1:2" x14ac:dyDescent="0.2">
      <c r="A2189">
        <v>121.84592482045991</v>
      </c>
      <c r="B2189">
        <v>648.84528095569112</v>
      </c>
    </row>
    <row r="2190" spans="1:2" x14ac:dyDescent="0.2">
      <c r="A2190">
        <v>938.581239747582</v>
      </c>
      <c r="B2190">
        <v>681.02852017173427</v>
      </c>
    </row>
    <row r="2191" spans="1:2" x14ac:dyDescent="0.2">
      <c r="A2191">
        <v>-2381.1106060181628</v>
      </c>
      <c r="B2191">
        <v>684.79745212424314</v>
      </c>
    </row>
    <row r="2192" spans="1:2" x14ac:dyDescent="0.2">
      <c r="A2192">
        <v>-15956.954890860245</v>
      </c>
      <c r="B2192">
        <v>689.47250158773386</v>
      </c>
    </row>
    <row r="2193" spans="1:2" x14ac:dyDescent="0.2">
      <c r="A2193">
        <v>20044.881981695682</v>
      </c>
      <c r="B2193">
        <v>692.71827855799347</v>
      </c>
    </row>
    <row r="2194" spans="1:2" x14ac:dyDescent="0.2">
      <c r="A2194">
        <v>-16691.431694103056</v>
      </c>
      <c r="B2194">
        <v>699.28143594175344</v>
      </c>
    </row>
    <row r="2195" spans="1:2" x14ac:dyDescent="0.2">
      <c r="A2195">
        <v>5462.1283958099666</v>
      </c>
      <c r="B2195">
        <v>700.11768121525529</v>
      </c>
    </row>
    <row r="2196" spans="1:2" x14ac:dyDescent="0.2">
      <c r="A2196">
        <v>-1184.4616408173752</v>
      </c>
      <c r="B2196">
        <v>704.31511396713904</v>
      </c>
    </row>
    <row r="2197" spans="1:2" x14ac:dyDescent="0.2">
      <c r="A2197">
        <v>186.67270376690431</v>
      </c>
      <c r="B2197">
        <v>719.63506053388119</v>
      </c>
    </row>
    <row r="2198" spans="1:2" x14ac:dyDescent="0.2">
      <c r="A2198">
        <v>10171.194666246942</v>
      </c>
      <c r="B2198">
        <v>720.48229467734927</v>
      </c>
    </row>
    <row r="2199" spans="1:2" x14ac:dyDescent="0.2">
      <c r="A2199">
        <v>5646.1678020591498</v>
      </c>
      <c r="B2199">
        <v>733.44911581493216</v>
      </c>
    </row>
    <row r="2200" spans="1:2" x14ac:dyDescent="0.2">
      <c r="A2200">
        <v>-6840.3165607873234</v>
      </c>
      <c r="B2200">
        <v>751.11527046153788</v>
      </c>
    </row>
    <row r="2201" spans="1:2" x14ac:dyDescent="0.2">
      <c r="A2201">
        <v>-20273.74131400726</v>
      </c>
      <c r="B2201">
        <v>751.21078822592972</v>
      </c>
    </row>
    <row r="2202" spans="1:2" x14ac:dyDescent="0.2">
      <c r="A2202">
        <v>4489.7357585482823</v>
      </c>
      <c r="B2202">
        <v>763.57184722746024</v>
      </c>
    </row>
    <row r="2203" spans="1:2" x14ac:dyDescent="0.2">
      <c r="A2203">
        <v>-10300.345300855115</v>
      </c>
      <c r="B2203">
        <v>764.08309842692688</v>
      </c>
    </row>
    <row r="2204" spans="1:2" x14ac:dyDescent="0.2">
      <c r="A2204">
        <v>2305.5474540377909</v>
      </c>
      <c r="B2204">
        <v>768.23533721992862</v>
      </c>
    </row>
    <row r="2205" spans="1:2" x14ac:dyDescent="0.2">
      <c r="A2205">
        <v>3022.4006970943883</v>
      </c>
      <c r="B2205">
        <v>768.3651545723551</v>
      </c>
    </row>
    <row r="2206" spans="1:2" x14ac:dyDescent="0.2">
      <c r="A2206">
        <v>-6497.1798573031556</v>
      </c>
      <c r="B2206">
        <v>772.99634696193971</v>
      </c>
    </row>
    <row r="2207" spans="1:2" x14ac:dyDescent="0.2">
      <c r="A2207">
        <v>-2139.9438632341335</v>
      </c>
      <c r="B2207">
        <v>774.99802428676048</v>
      </c>
    </row>
    <row r="2208" spans="1:2" x14ac:dyDescent="0.2">
      <c r="A2208">
        <v>2214.5180700377532</v>
      </c>
      <c r="B2208">
        <v>776.40402339852881</v>
      </c>
    </row>
    <row r="2209" spans="1:2" x14ac:dyDescent="0.2">
      <c r="A2209">
        <v>13526.958432224608</v>
      </c>
      <c r="B2209">
        <v>783.61900284769945</v>
      </c>
    </row>
    <row r="2210" spans="1:2" x14ac:dyDescent="0.2">
      <c r="A2210">
        <v>217.34249100179295</v>
      </c>
      <c r="B2210">
        <v>791.57710567375761</v>
      </c>
    </row>
    <row r="2211" spans="1:2" x14ac:dyDescent="0.2">
      <c r="A2211">
        <v>7682.4803478745162</v>
      </c>
      <c r="B2211">
        <v>802.13537033824832</v>
      </c>
    </row>
    <row r="2212" spans="1:2" x14ac:dyDescent="0.2">
      <c r="A2212">
        <v>6220.7563738967001</v>
      </c>
      <c r="B2212">
        <v>803.58895970950834</v>
      </c>
    </row>
    <row r="2213" spans="1:2" x14ac:dyDescent="0.2">
      <c r="A2213">
        <v>3341.0664050689666</v>
      </c>
      <c r="B2213">
        <v>811.98775788658531</v>
      </c>
    </row>
    <row r="2214" spans="1:2" x14ac:dyDescent="0.2">
      <c r="A2214">
        <v>9748.4738774769939</v>
      </c>
      <c r="B2214">
        <v>817.05377528152894</v>
      </c>
    </row>
    <row r="2215" spans="1:2" x14ac:dyDescent="0.2">
      <c r="A2215">
        <v>8009.0164403808885</v>
      </c>
      <c r="B2215">
        <v>823.08693962468533</v>
      </c>
    </row>
    <row r="2216" spans="1:2" x14ac:dyDescent="0.2">
      <c r="A2216">
        <v>19191.035094908788</v>
      </c>
      <c r="B2216">
        <v>827.11146302745328</v>
      </c>
    </row>
    <row r="2217" spans="1:2" x14ac:dyDescent="0.2">
      <c r="A2217">
        <v>15776.451648854039</v>
      </c>
      <c r="B2217">
        <v>828.04519130015979</v>
      </c>
    </row>
    <row r="2218" spans="1:2" x14ac:dyDescent="0.2">
      <c r="A2218">
        <v>6221.854626934597</v>
      </c>
      <c r="B2218">
        <v>832.16387500028941</v>
      </c>
    </row>
    <row r="2219" spans="1:2" x14ac:dyDescent="0.2">
      <c r="A2219">
        <v>817.05377528152894</v>
      </c>
      <c r="B2219">
        <v>838.44086757456535</v>
      </c>
    </row>
    <row r="2220" spans="1:2" x14ac:dyDescent="0.2">
      <c r="A2220">
        <v>-13699.971363713907</v>
      </c>
      <c r="B2220">
        <v>840.2215122852358</v>
      </c>
    </row>
    <row r="2221" spans="1:2" x14ac:dyDescent="0.2">
      <c r="A2221">
        <v>-6701.5282545514638</v>
      </c>
      <c r="B2221">
        <v>842.66371818029438</v>
      </c>
    </row>
    <row r="2222" spans="1:2" x14ac:dyDescent="0.2">
      <c r="A2222">
        <v>10250.946330489911</v>
      </c>
      <c r="B2222">
        <v>848.04598945926409</v>
      </c>
    </row>
    <row r="2223" spans="1:2" x14ac:dyDescent="0.2">
      <c r="A2223">
        <v>-21731.792368797527</v>
      </c>
      <c r="B2223">
        <v>856.25035736375139</v>
      </c>
    </row>
    <row r="2224" spans="1:2" x14ac:dyDescent="0.2">
      <c r="A2224">
        <v>14393.468877784791</v>
      </c>
      <c r="B2224">
        <v>858.03476932185004</v>
      </c>
    </row>
    <row r="2225" spans="1:2" x14ac:dyDescent="0.2">
      <c r="A2225">
        <v>5293.3115985396435</v>
      </c>
      <c r="B2225">
        <v>861.00390220622648</v>
      </c>
    </row>
    <row r="2226" spans="1:2" x14ac:dyDescent="0.2">
      <c r="A2226">
        <v>-13523.293970971368</v>
      </c>
      <c r="B2226">
        <v>867.09328089599148</v>
      </c>
    </row>
    <row r="2227" spans="1:2" x14ac:dyDescent="0.2">
      <c r="A2227">
        <v>3320.0112470167223</v>
      </c>
      <c r="B2227">
        <v>872.45556860978832</v>
      </c>
    </row>
    <row r="2228" spans="1:2" x14ac:dyDescent="0.2">
      <c r="A2228">
        <v>2452.9438063613488</v>
      </c>
      <c r="B2228">
        <v>873.13562794984318</v>
      </c>
    </row>
    <row r="2229" spans="1:2" x14ac:dyDescent="0.2">
      <c r="A2229">
        <v>17965.791724693903</v>
      </c>
      <c r="B2229">
        <v>874.75871244026348</v>
      </c>
    </row>
    <row r="2230" spans="1:2" x14ac:dyDescent="0.2">
      <c r="A2230">
        <v>-15043.544299556932</v>
      </c>
      <c r="B2230">
        <v>875.26102217799053</v>
      </c>
    </row>
    <row r="2231" spans="1:2" x14ac:dyDescent="0.2">
      <c r="A2231">
        <v>-1622.6774287454318</v>
      </c>
      <c r="B2231">
        <v>881.9266655559768</v>
      </c>
    </row>
    <row r="2232" spans="1:2" x14ac:dyDescent="0.2">
      <c r="A2232">
        <v>5384.9138720122864</v>
      </c>
      <c r="B2232">
        <v>884.59903309401125</v>
      </c>
    </row>
    <row r="2233" spans="1:2" x14ac:dyDescent="0.2">
      <c r="A2233">
        <v>8708.5947032555123</v>
      </c>
      <c r="B2233">
        <v>887.06040113355266</v>
      </c>
    </row>
    <row r="2234" spans="1:2" x14ac:dyDescent="0.2">
      <c r="A2234">
        <v>-14595.598014314717</v>
      </c>
      <c r="B2234">
        <v>892.40963003662182</v>
      </c>
    </row>
    <row r="2235" spans="1:2" x14ac:dyDescent="0.2">
      <c r="A2235">
        <v>-1415.0633168920758</v>
      </c>
      <c r="B2235">
        <v>894.39793113543419</v>
      </c>
    </row>
    <row r="2236" spans="1:2" x14ac:dyDescent="0.2">
      <c r="A2236">
        <v>689.47250158773386</v>
      </c>
      <c r="B2236">
        <v>896.35411151047447</v>
      </c>
    </row>
    <row r="2237" spans="1:2" x14ac:dyDescent="0.2">
      <c r="A2237">
        <v>5591.5938515761518</v>
      </c>
      <c r="B2237">
        <v>898.17951569432626</v>
      </c>
    </row>
    <row r="2238" spans="1:2" x14ac:dyDescent="0.2">
      <c r="A2238">
        <v>-11036.717806758359</v>
      </c>
      <c r="B2238">
        <v>899.07782130478881</v>
      </c>
    </row>
    <row r="2239" spans="1:2" x14ac:dyDescent="0.2">
      <c r="A2239">
        <v>18494.791443022958</v>
      </c>
      <c r="B2239">
        <v>902.0542388856411</v>
      </c>
    </row>
    <row r="2240" spans="1:2" x14ac:dyDescent="0.2">
      <c r="A2240">
        <v>3050.2983744452649</v>
      </c>
      <c r="B2240">
        <v>904.88508929789532</v>
      </c>
    </row>
    <row r="2241" spans="1:2" x14ac:dyDescent="0.2">
      <c r="A2241">
        <v>13904.490458166401</v>
      </c>
      <c r="B2241">
        <v>904.90112366137328</v>
      </c>
    </row>
    <row r="2242" spans="1:2" x14ac:dyDescent="0.2">
      <c r="A2242">
        <v>-73.364550661644898</v>
      </c>
      <c r="B2242">
        <v>910.87246039119782</v>
      </c>
    </row>
    <row r="2243" spans="1:2" x14ac:dyDescent="0.2">
      <c r="A2243">
        <v>4284.1771935772267</v>
      </c>
      <c r="B2243">
        <v>919.08788124978309</v>
      </c>
    </row>
    <row r="2244" spans="1:2" x14ac:dyDescent="0.2">
      <c r="A2244">
        <v>6718.0600118777365</v>
      </c>
      <c r="B2244">
        <v>921.96749132516561</v>
      </c>
    </row>
    <row r="2245" spans="1:2" x14ac:dyDescent="0.2">
      <c r="A2245">
        <v>-10308.121978690353</v>
      </c>
      <c r="B2245">
        <v>938.39619792511803</v>
      </c>
    </row>
    <row r="2246" spans="1:2" x14ac:dyDescent="0.2">
      <c r="A2246">
        <v>-15041.002160679491</v>
      </c>
      <c r="B2246">
        <v>938.581239747582</v>
      </c>
    </row>
    <row r="2247" spans="1:2" x14ac:dyDescent="0.2">
      <c r="A2247">
        <v>14530.66303927853</v>
      </c>
      <c r="B2247">
        <v>940.61639755644137</v>
      </c>
    </row>
    <row r="2248" spans="1:2" x14ac:dyDescent="0.2">
      <c r="A2248">
        <v>26507.306457987186</v>
      </c>
      <c r="B2248">
        <v>946.8718893827172</v>
      </c>
    </row>
    <row r="2249" spans="1:2" x14ac:dyDescent="0.2">
      <c r="A2249">
        <v>10515.112207325757</v>
      </c>
      <c r="B2249">
        <v>949.09138250548858</v>
      </c>
    </row>
    <row r="2250" spans="1:2" x14ac:dyDescent="0.2">
      <c r="A2250">
        <v>302.41295063469443</v>
      </c>
      <c r="B2250">
        <v>949.18863055628026</v>
      </c>
    </row>
    <row r="2251" spans="1:2" x14ac:dyDescent="0.2">
      <c r="A2251">
        <v>-3331.687132773397</v>
      </c>
      <c r="B2251">
        <v>954.14569668559125</v>
      </c>
    </row>
    <row r="2252" spans="1:2" x14ac:dyDescent="0.2">
      <c r="A2252">
        <v>9215.9499510789465</v>
      </c>
      <c r="B2252">
        <v>954.38051525966148</v>
      </c>
    </row>
    <row r="2253" spans="1:2" x14ac:dyDescent="0.2">
      <c r="A2253">
        <v>11243.473034348746</v>
      </c>
      <c r="B2253">
        <v>955.48017723261728</v>
      </c>
    </row>
    <row r="2254" spans="1:2" x14ac:dyDescent="0.2">
      <c r="A2254">
        <v>6241.2878292542009</v>
      </c>
      <c r="B2254">
        <v>958.94477703524171</v>
      </c>
    </row>
    <row r="2255" spans="1:2" x14ac:dyDescent="0.2">
      <c r="A2255">
        <v>8477.6345304911083</v>
      </c>
      <c r="B2255">
        <v>959.0594492185046</v>
      </c>
    </row>
    <row r="2256" spans="1:2" x14ac:dyDescent="0.2">
      <c r="A2256">
        <v>-6551.378426868876</v>
      </c>
      <c r="B2256">
        <v>966.60425840056268</v>
      </c>
    </row>
    <row r="2257" spans="1:2" x14ac:dyDescent="0.2">
      <c r="A2257">
        <v>5273.691619571764</v>
      </c>
      <c r="B2257">
        <v>979.7960641143145</v>
      </c>
    </row>
    <row r="2258" spans="1:2" x14ac:dyDescent="0.2">
      <c r="A2258">
        <v>24258.781137489015</v>
      </c>
      <c r="B2258">
        <v>982.29363679359085</v>
      </c>
    </row>
    <row r="2259" spans="1:2" x14ac:dyDescent="0.2">
      <c r="A2259">
        <v>-16864.10377185879</v>
      </c>
      <c r="B2259">
        <v>988.30646286389674</v>
      </c>
    </row>
    <row r="2260" spans="1:2" x14ac:dyDescent="0.2">
      <c r="A2260">
        <v>14053.453636921942</v>
      </c>
      <c r="B2260">
        <v>990.4042284458119</v>
      </c>
    </row>
    <row r="2261" spans="1:2" x14ac:dyDescent="0.2">
      <c r="A2261">
        <v>7565.8209709947987</v>
      </c>
      <c r="B2261">
        <v>991.69025746092666</v>
      </c>
    </row>
    <row r="2262" spans="1:2" x14ac:dyDescent="0.2">
      <c r="A2262">
        <v>10684.419664190762</v>
      </c>
      <c r="B2262">
        <v>993.14927344443277</v>
      </c>
    </row>
    <row r="2263" spans="1:2" x14ac:dyDescent="0.2">
      <c r="A2263">
        <v>12885.881733329006</v>
      </c>
      <c r="B2263">
        <v>993.47860732633853</v>
      </c>
    </row>
    <row r="2264" spans="1:2" x14ac:dyDescent="0.2">
      <c r="A2264">
        <v>35.736805754480883</v>
      </c>
      <c r="B2264">
        <v>996.12984659880749</v>
      </c>
    </row>
    <row r="2265" spans="1:2" x14ac:dyDescent="0.2">
      <c r="A2265">
        <v>4498.0815197536722</v>
      </c>
      <c r="B2265">
        <v>1000.300525948318</v>
      </c>
    </row>
    <row r="2266" spans="1:2" x14ac:dyDescent="0.2">
      <c r="A2266">
        <v>-5340.7466729836306</v>
      </c>
      <c r="B2266">
        <v>1003.7232602033182</v>
      </c>
    </row>
    <row r="2267" spans="1:2" x14ac:dyDescent="0.2">
      <c r="A2267">
        <v>21702.718177219504</v>
      </c>
      <c r="B2267">
        <v>1006.2075430988334</v>
      </c>
    </row>
    <row r="2268" spans="1:2" x14ac:dyDescent="0.2">
      <c r="A2268">
        <v>3828.3505079176102</v>
      </c>
      <c r="B2268">
        <v>1008.5100983271841</v>
      </c>
    </row>
    <row r="2269" spans="1:2" x14ac:dyDescent="0.2">
      <c r="A2269">
        <v>12421.799613397015</v>
      </c>
      <c r="B2269">
        <v>1009.2775084346649</v>
      </c>
    </row>
    <row r="2270" spans="1:2" x14ac:dyDescent="0.2">
      <c r="A2270">
        <v>-7036.383136433491</v>
      </c>
      <c r="B2270">
        <v>1012.0171351991594</v>
      </c>
    </row>
    <row r="2271" spans="1:2" x14ac:dyDescent="0.2">
      <c r="A2271">
        <v>-8831.6761302349623</v>
      </c>
      <c r="B2271">
        <v>1025.3247506704065</v>
      </c>
    </row>
    <row r="2272" spans="1:2" x14ac:dyDescent="0.2">
      <c r="A2272">
        <v>12686.237486130733</v>
      </c>
      <c r="B2272">
        <v>1040.1143243054394</v>
      </c>
    </row>
    <row r="2273" spans="1:2" x14ac:dyDescent="0.2">
      <c r="A2273">
        <v>-5236.4282617972931</v>
      </c>
      <c r="B2273">
        <v>1042.8263018606813</v>
      </c>
    </row>
    <row r="2274" spans="1:2" x14ac:dyDescent="0.2">
      <c r="A2274">
        <v>11830.555454973422</v>
      </c>
      <c r="B2274">
        <v>1045.1071530778136</v>
      </c>
    </row>
    <row r="2275" spans="1:2" x14ac:dyDescent="0.2">
      <c r="A2275">
        <v>13406.941495404957</v>
      </c>
      <c r="B2275">
        <v>1047.9368820590898</v>
      </c>
    </row>
    <row r="2276" spans="1:2" x14ac:dyDescent="0.2">
      <c r="A2276">
        <v>-13877.820402423793</v>
      </c>
      <c r="B2276">
        <v>1050.4081818207633</v>
      </c>
    </row>
    <row r="2277" spans="1:2" x14ac:dyDescent="0.2">
      <c r="A2277">
        <v>12917.268125567818</v>
      </c>
      <c r="B2277">
        <v>1056.8067141644715</v>
      </c>
    </row>
    <row r="2278" spans="1:2" x14ac:dyDescent="0.2">
      <c r="A2278">
        <v>-17861.414636186993</v>
      </c>
      <c r="B2278">
        <v>1057.4508037551423</v>
      </c>
    </row>
    <row r="2279" spans="1:2" x14ac:dyDescent="0.2">
      <c r="A2279">
        <v>-5139.5095487076906</v>
      </c>
      <c r="B2279">
        <v>1059.81819516822</v>
      </c>
    </row>
    <row r="2280" spans="1:2" x14ac:dyDescent="0.2">
      <c r="A2280">
        <v>7809.87239432559</v>
      </c>
      <c r="B2280">
        <v>1061.3360323623056</v>
      </c>
    </row>
    <row r="2281" spans="1:2" x14ac:dyDescent="0.2">
      <c r="A2281">
        <v>-6457.4934326430666</v>
      </c>
      <c r="B2281">
        <v>1062.4345232843189</v>
      </c>
    </row>
    <row r="2282" spans="1:2" x14ac:dyDescent="0.2">
      <c r="A2282">
        <v>-4979.1375173566048</v>
      </c>
      <c r="B2282">
        <v>1065.118251129752</v>
      </c>
    </row>
    <row r="2283" spans="1:2" x14ac:dyDescent="0.2">
      <c r="A2283">
        <v>11407.374349100661</v>
      </c>
      <c r="B2283">
        <v>1065.5637609277037</v>
      </c>
    </row>
    <row r="2284" spans="1:2" x14ac:dyDescent="0.2">
      <c r="A2284">
        <v>1539.1401918348274</v>
      </c>
      <c r="B2284">
        <v>1069.4495826630737</v>
      </c>
    </row>
    <row r="2285" spans="1:2" x14ac:dyDescent="0.2">
      <c r="A2285">
        <v>1581.9836798658653</v>
      </c>
      <c r="B2285">
        <v>1073.5254463866877</v>
      </c>
    </row>
    <row r="2286" spans="1:2" x14ac:dyDescent="0.2">
      <c r="A2286">
        <v>11148.410636008834</v>
      </c>
      <c r="B2286">
        <v>1073.6154740969941</v>
      </c>
    </row>
    <row r="2287" spans="1:2" x14ac:dyDescent="0.2">
      <c r="A2287">
        <v>2899.1868099797866</v>
      </c>
      <c r="B2287">
        <v>1073.8902075815131</v>
      </c>
    </row>
    <row r="2288" spans="1:2" x14ac:dyDescent="0.2">
      <c r="A2288">
        <v>-2399.6263188793091</v>
      </c>
      <c r="B2288">
        <v>1079.6278974181041</v>
      </c>
    </row>
    <row r="2289" spans="1:2" x14ac:dyDescent="0.2">
      <c r="A2289">
        <v>1800.240662060125</v>
      </c>
      <c r="B2289">
        <v>1081.9527725529624</v>
      </c>
    </row>
    <row r="2290" spans="1:2" x14ac:dyDescent="0.2">
      <c r="A2290">
        <v>-17153.687100214069</v>
      </c>
      <c r="B2290">
        <v>1085.1027752285299</v>
      </c>
    </row>
    <row r="2291" spans="1:2" x14ac:dyDescent="0.2">
      <c r="A2291">
        <v>4529.3085362778365</v>
      </c>
      <c r="B2291">
        <v>1089.7888890951872</v>
      </c>
    </row>
    <row r="2292" spans="1:2" x14ac:dyDescent="0.2">
      <c r="A2292">
        <v>12691.755080764939</v>
      </c>
      <c r="B2292">
        <v>1097.4845754482667</v>
      </c>
    </row>
    <row r="2293" spans="1:2" x14ac:dyDescent="0.2">
      <c r="A2293">
        <v>3946.4315036225598</v>
      </c>
      <c r="B2293">
        <v>1105.6528945983155</v>
      </c>
    </row>
    <row r="2294" spans="1:2" x14ac:dyDescent="0.2">
      <c r="A2294">
        <v>-17437.612490067317</v>
      </c>
      <c r="B2294">
        <v>1106.3282844023488</v>
      </c>
    </row>
    <row r="2295" spans="1:2" x14ac:dyDescent="0.2">
      <c r="A2295">
        <v>-1218.2546148670954</v>
      </c>
      <c r="B2295">
        <v>1107.073866472696</v>
      </c>
    </row>
    <row r="2296" spans="1:2" x14ac:dyDescent="0.2">
      <c r="A2296">
        <v>-834.80881472860347</v>
      </c>
      <c r="B2296">
        <v>1107.2847756754491</v>
      </c>
    </row>
    <row r="2297" spans="1:2" x14ac:dyDescent="0.2">
      <c r="A2297">
        <v>9308.0185127049335</v>
      </c>
      <c r="B2297">
        <v>1117.3273790817766</v>
      </c>
    </row>
    <row r="2298" spans="1:2" x14ac:dyDescent="0.2">
      <c r="A2298">
        <v>15886.386908003537</v>
      </c>
      <c r="B2298">
        <v>1118.6076498652692</v>
      </c>
    </row>
    <row r="2299" spans="1:2" x14ac:dyDescent="0.2">
      <c r="A2299">
        <v>-5896.7612646890921</v>
      </c>
      <c r="B2299">
        <v>1119.0725982607109</v>
      </c>
    </row>
    <row r="2300" spans="1:2" x14ac:dyDescent="0.2">
      <c r="A2300">
        <v>7623.4844989609846</v>
      </c>
      <c r="B2300">
        <v>1120.0229918600817</v>
      </c>
    </row>
    <row r="2301" spans="1:2" x14ac:dyDescent="0.2">
      <c r="A2301">
        <v>887.06040113355266</v>
      </c>
      <c r="B2301">
        <v>1122.9217129634926</v>
      </c>
    </row>
    <row r="2302" spans="1:2" x14ac:dyDescent="0.2">
      <c r="A2302">
        <v>18053.510855661894</v>
      </c>
      <c r="B2302">
        <v>1130.5061985328502</v>
      </c>
    </row>
    <row r="2303" spans="1:2" x14ac:dyDescent="0.2">
      <c r="A2303">
        <v>-609.41522809152957</v>
      </c>
      <c r="B2303">
        <v>1132.6963138957799</v>
      </c>
    </row>
    <row r="2304" spans="1:2" x14ac:dyDescent="0.2">
      <c r="A2304">
        <v>7603.8722026410396</v>
      </c>
      <c r="B2304">
        <v>1135.0673424630659</v>
      </c>
    </row>
    <row r="2305" spans="1:2" x14ac:dyDescent="0.2">
      <c r="A2305">
        <v>-2957.1348738293455</v>
      </c>
      <c r="B2305">
        <v>1135.4538837783621</v>
      </c>
    </row>
    <row r="2306" spans="1:2" x14ac:dyDescent="0.2">
      <c r="A2306">
        <v>1065.5637609277037</v>
      </c>
      <c r="B2306">
        <v>1136.2224482718157</v>
      </c>
    </row>
    <row r="2307" spans="1:2" x14ac:dyDescent="0.2">
      <c r="A2307">
        <v>6295.720893838472</v>
      </c>
      <c r="B2307">
        <v>1144.2072740700096</v>
      </c>
    </row>
    <row r="2308" spans="1:2" x14ac:dyDescent="0.2">
      <c r="A2308">
        <v>5012.8006813344546</v>
      </c>
      <c r="B2308">
        <v>1147.6352940960205</v>
      </c>
    </row>
    <row r="2309" spans="1:2" x14ac:dyDescent="0.2">
      <c r="A2309">
        <v>-8001.6093696735334</v>
      </c>
      <c r="B2309">
        <v>1152.6326907250332</v>
      </c>
    </row>
    <row r="2310" spans="1:2" x14ac:dyDescent="0.2">
      <c r="A2310">
        <v>-5279.2349425987923</v>
      </c>
      <c r="B2310">
        <v>1152.9414936523826</v>
      </c>
    </row>
    <row r="2311" spans="1:2" x14ac:dyDescent="0.2">
      <c r="A2311">
        <v>12489.293359110656</v>
      </c>
      <c r="B2311">
        <v>1154.2006128348876</v>
      </c>
    </row>
    <row r="2312" spans="1:2" x14ac:dyDescent="0.2">
      <c r="A2312">
        <v>6573.1351335378713</v>
      </c>
      <c r="B2312">
        <v>1154.8454235416139</v>
      </c>
    </row>
    <row r="2313" spans="1:2" x14ac:dyDescent="0.2">
      <c r="A2313">
        <v>-20637.148570898047</v>
      </c>
      <c r="B2313">
        <v>1155.1383768888481</v>
      </c>
    </row>
    <row r="2314" spans="1:2" x14ac:dyDescent="0.2">
      <c r="A2314">
        <v>5629.8916486333474</v>
      </c>
      <c r="B2314">
        <v>1155.9807619469357</v>
      </c>
    </row>
    <row r="2315" spans="1:2" x14ac:dyDescent="0.2">
      <c r="A2315">
        <v>-5523.4677938407985</v>
      </c>
      <c r="B2315">
        <v>1176.3850083280122</v>
      </c>
    </row>
    <row r="2316" spans="1:2" x14ac:dyDescent="0.2">
      <c r="A2316">
        <v>-3618.8079140078626</v>
      </c>
      <c r="B2316">
        <v>1185.7677136054845</v>
      </c>
    </row>
    <row r="2317" spans="1:2" x14ac:dyDescent="0.2">
      <c r="A2317">
        <v>6306.2312010292662</v>
      </c>
      <c r="B2317">
        <v>1193.4454076446127</v>
      </c>
    </row>
    <row r="2318" spans="1:2" x14ac:dyDescent="0.2">
      <c r="A2318">
        <v>-9931.7175879277638</v>
      </c>
      <c r="B2318">
        <v>1194.0563580614398</v>
      </c>
    </row>
    <row r="2319" spans="1:2" x14ac:dyDescent="0.2">
      <c r="A2319">
        <v>12032.034601434949</v>
      </c>
      <c r="B2319">
        <v>1195.4669448788627</v>
      </c>
    </row>
    <row r="2320" spans="1:2" x14ac:dyDescent="0.2">
      <c r="A2320">
        <v>-2944.3744903336046</v>
      </c>
      <c r="B2320">
        <v>1202.7211589355429</v>
      </c>
    </row>
    <row r="2321" spans="1:2" x14ac:dyDescent="0.2">
      <c r="A2321">
        <v>20719.55718419599</v>
      </c>
      <c r="B2321">
        <v>1206.5439624252613</v>
      </c>
    </row>
    <row r="2322" spans="1:2" x14ac:dyDescent="0.2">
      <c r="A2322">
        <v>7577.4647062140284</v>
      </c>
      <c r="B2322">
        <v>1206.6452550761751</v>
      </c>
    </row>
    <row r="2323" spans="1:2" x14ac:dyDescent="0.2">
      <c r="A2323">
        <v>19074.014830163331</v>
      </c>
      <c r="B2323">
        <v>1215.2532119458192</v>
      </c>
    </row>
    <row r="2324" spans="1:2" x14ac:dyDescent="0.2">
      <c r="A2324">
        <v>1825.0941255054495</v>
      </c>
      <c r="B2324">
        <v>1217.6852710738895</v>
      </c>
    </row>
    <row r="2325" spans="1:2" x14ac:dyDescent="0.2">
      <c r="A2325">
        <v>-8674.3008102863096</v>
      </c>
      <c r="B2325">
        <v>1219.8096204632602</v>
      </c>
    </row>
    <row r="2326" spans="1:2" x14ac:dyDescent="0.2">
      <c r="A2326">
        <v>9067.7310368245526</v>
      </c>
      <c r="B2326">
        <v>1222.1008680541709</v>
      </c>
    </row>
    <row r="2327" spans="1:2" x14ac:dyDescent="0.2">
      <c r="A2327">
        <v>-5043.4111313096364</v>
      </c>
      <c r="B2327">
        <v>1236.1371367779211</v>
      </c>
    </row>
    <row r="2328" spans="1:2" x14ac:dyDescent="0.2">
      <c r="A2328">
        <v>11069.710918881814</v>
      </c>
      <c r="B2328">
        <v>1236.7407675781869</v>
      </c>
    </row>
    <row r="2329" spans="1:2" x14ac:dyDescent="0.2">
      <c r="A2329">
        <v>1575.3651566459448</v>
      </c>
      <c r="B2329">
        <v>1246.760877646273</v>
      </c>
    </row>
    <row r="2330" spans="1:2" x14ac:dyDescent="0.2">
      <c r="A2330">
        <v>8309.4699377403304</v>
      </c>
      <c r="B2330">
        <v>1247.0770415182342</v>
      </c>
    </row>
    <row r="2331" spans="1:2" x14ac:dyDescent="0.2">
      <c r="A2331">
        <v>22102.430974570714</v>
      </c>
      <c r="B2331">
        <v>1259.7181723571848</v>
      </c>
    </row>
    <row r="2332" spans="1:2" x14ac:dyDescent="0.2">
      <c r="A2332">
        <v>-756.72571041731862</v>
      </c>
      <c r="B2332">
        <v>1264.8854339628306</v>
      </c>
    </row>
    <row r="2333" spans="1:2" x14ac:dyDescent="0.2">
      <c r="A2333">
        <v>3115.7764089167467</v>
      </c>
      <c r="B2333">
        <v>1265.4929116334824</v>
      </c>
    </row>
    <row r="2334" spans="1:2" x14ac:dyDescent="0.2">
      <c r="A2334">
        <v>3139.8402974092169</v>
      </c>
      <c r="B2334">
        <v>1271.5487181724457</v>
      </c>
    </row>
    <row r="2335" spans="1:2" x14ac:dyDescent="0.2">
      <c r="A2335">
        <v>3655.9348752049846</v>
      </c>
      <c r="B2335">
        <v>1275.4690065399627</v>
      </c>
    </row>
    <row r="2336" spans="1:2" x14ac:dyDescent="0.2">
      <c r="A2336">
        <v>10148.644264983624</v>
      </c>
      <c r="B2336">
        <v>1282.322221320559</v>
      </c>
    </row>
    <row r="2337" spans="1:2" x14ac:dyDescent="0.2">
      <c r="A2337">
        <v>-1839.554104369483</v>
      </c>
      <c r="B2337">
        <v>1282.9239996753458</v>
      </c>
    </row>
    <row r="2338" spans="1:2" x14ac:dyDescent="0.2">
      <c r="A2338">
        <v>-18274.552473597461</v>
      </c>
      <c r="B2338">
        <v>1291.2684329987969</v>
      </c>
    </row>
    <row r="2339" spans="1:2" x14ac:dyDescent="0.2">
      <c r="A2339">
        <v>-2025.9851172972121</v>
      </c>
      <c r="B2339">
        <v>1293.5149948660983</v>
      </c>
    </row>
    <row r="2340" spans="1:2" x14ac:dyDescent="0.2">
      <c r="A2340">
        <v>-12958.716457625851</v>
      </c>
      <c r="B2340">
        <v>1294.6772365496436</v>
      </c>
    </row>
    <row r="2341" spans="1:2" x14ac:dyDescent="0.2">
      <c r="A2341">
        <v>-14831.74188897782</v>
      </c>
      <c r="B2341">
        <v>1294.8915295549959</v>
      </c>
    </row>
    <row r="2342" spans="1:2" x14ac:dyDescent="0.2">
      <c r="A2342">
        <v>-22468.133332986617</v>
      </c>
      <c r="B2342">
        <v>1297.3273578007938</v>
      </c>
    </row>
    <row r="2343" spans="1:2" x14ac:dyDescent="0.2">
      <c r="A2343">
        <v>-803.01711975870421</v>
      </c>
      <c r="B2343">
        <v>1299.4527269424871</v>
      </c>
    </row>
    <row r="2344" spans="1:2" x14ac:dyDescent="0.2">
      <c r="A2344">
        <v>-863.46486356621608</v>
      </c>
      <c r="B2344">
        <v>1300.736527438974</v>
      </c>
    </row>
    <row r="2345" spans="1:2" x14ac:dyDescent="0.2">
      <c r="A2345">
        <v>6991.4619914764189</v>
      </c>
      <c r="B2345">
        <v>1301.8702836649609</v>
      </c>
    </row>
    <row r="2346" spans="1:2" x14ac:dyDescent="0.2">
      <c r="A2346">
        <v>8813.7326322739827</v>
      </c>
      <c r="B2346">
        <v>1306.9335190216079</v>
      </c>
    </row>
    <row r="2347" spans="1:2" x14ac:dyDescent="0.2">
      <c r="A2347">
        <v>50.028328504471574</v>
      </c>
      <c r="B2347">
        <v>1312.1620908120531</v>
      </c>
    </row>
    <row r="2348" spans="1:2" x14ac:dyDescent="0.2">
      <c r="A2348">
        <v>-2531.4696309517021</v>
      </c>
      <c r="B2348">
        <v>1316.9275080186198</v>
      </c>
    </row>
    <row r="2349" spans="1:2" x14ac:dyDescent="0.2">
      <c r="A2349">
        <v>-10951.189461902221</v>
      </c>
      <c r="B2349">
        <v>1317.9410822269856</v>
      </c>
    </row>
    <row r="2350" spans="1:2" x14ac:dyDescent="0.2">
      <c r="A2350">
        <v>3093.1637557947543</v>
      </c>
      <c r="B2350">
        <v>1320.9094140595698</v>
      </c>
    </row>
    <row r="2351" spans="1:2" x14ac:dyDescent="0.2">
      <c r="A2351">
        <v>-3019.5046452679962</v>
      </c>
      <c r="B2351">
        <v>1325.3963685626222</v>
      </c>
    </row>
    <row r="2352" spans="1:2" x14ac:dyDescent="0.2">
      <c r="A2352">
        <v>-13835.884457587526</v>
      </c>
      <c r="B2352">
        <v>1327.2367884593841</v>
      </c>
    </row>
    <row r="2353" spans="1:2" x14ac:dyDescent="0.2">
      <c r="A2353">
        <v>-34549.379617970728</v>
      </c>
      <c r="B2353">
        <v>1329.0097434471245</v>
      </c>
    </row>
    <row r="2354" spans="1:2" x14ac:dyDescent="0.2">
      <c r="A2354">
        <v>-20697.3155728571</v>
      </c>
      <c r="B2354">
        <v>1332.1347334947204</v>
      </c>
    </row>
    <row r="2355" spans="1:2" x14ac:dyDescent="0.2">
      <c r="A2355">
        <v>-19123.609307607694</v>
      </c>
      <c r="B2355">
        <v>1348.8574284868373</v>
      </c>
    </row>
    <row r="2356" spans="1:2" x14ac:dyDescent="0.2">
      <c r="A2356">
        <v>6885.3865187381743</v>
      </c>
      <c r="B2356">
        <v>1351.6241997921607</v>
      </c>
    </row>
    <row r="2357" spans="1:2" x14ac:dyDescent="0.2">
      <c r="A2357">
        <v>4728.2891560911958</v>
      </c>
      <c r="B2357">
        <v>1354.8390070980531</v>
      </c>
    </row>
    <row r="2358" spans="1:2" x14ac:dyDescent="0.2">
      <c r="A2358">
        <v>-11486.934575093212</v>
      </c>
      <c r="B2358">
        <v>1356.8623403137899</v>
      </c>
    </row>
    <row r="2359" spans="1:2" x14ac:dyDescent="0.2">
      <c r="A2359">
        <v>2213.6777858886926</v>
      </c>
      <c r="B2359">
        <v>1359.4467085866199</v>
      </c>
    </row>
    <row r="2360" spans="1:2" x14ac:dyDescent="0.2">
      <c r="A2360">
        <v>7860.1232205402339</v>
      </c>
      <c r="B2360">
        <v>1366.8093265294447</v>
      </c>
    </row>
    <row r="2361" spans="1:2" x14ac:dyDescent="0.2">
      <c r="A2361">
        <v>4352.6288095717318</v>
      </c>
      <c r="B2361">
        <v>1372.9852421579126</v>
      </c>
    </row>
    <row r="2362" spans="1:2" x14ac:dyDescent="0.2">
      <c r="A2362">
        <v>9549.3776850076101</v>
      </c>
      <c r="B2362">
        <v>1380.5613988364348</v>
      </c>
    </row>
    <row r="2363" spans="1:2" x14ac:dyDescent="0.2">
      <c r="A2363">
        <v>427.97117008132045</v>
      </c>
      <c r="B2363">
        <v>1382.2601474130061</v>
      </c>
    </row>
    <row r="2364" spans="1:2" x14ac:dyDescent="0.2">
      <c r="A2364">
        <v>-4044.559758591553</v>
      </c>
      <c r="B2364">
        <v>1383.1232558668707</v>
      </c>
    </row>
    <row r="2365" spans="1:2" x14ac:dyDescent="0.2">
      <c r="A2365">
        <v>9285.9151444127492</v>
      </c>
      <c r="B2365">
        <v>1385.5225624555023</v>
      </c>
    </row>
    <row r="2366" spans="1:2" x14ac:dyDescent="0.2">
      <c r="A2366">
        <v>-9409.9509081766591</v>
      </c>
      <c r="B2366">
        <v>1385.6762159086647</v>
      </c>
    </row>
    <row r="2367" spans="1:2" x14ac:dyDescent="0.2">
      <c r="A2367">
        <v>-19608.248176745139</v>
      </c>
      <c r="B2367">
        <v>1386.7346705570817</v>
      </c>
    </row>
    <row r="2368" spans="1:2" x14ac:dyDescent="0.2">
      <c r="A2368">
        <v>12666.657709355059</v>
      </c>
      <c r="B2368">
        <v>1387.0794194864575</v>
      </c>
    </row>
    <row r="2369" spans="1:2" x14ac:dyDescent="0.2">
      <c r="A2369">
        <v>-10098.917917947576</v>
      </c>
      <c r="B2369">
        <v>1393.6480408360658</v>
      </c>
    </row>
    <row r="2370" spans="1:2" x14ac:dyDescent="0.2">
      <c r="A2370">
        <v>-1769.0539999485773</v>
      </c>
      <c r="B2370">
        <v>1394.5270551523718</v>
      </c>
    </row>
    <row r="2371" spans="1:2" x14ac:dyDescent="0.2">
      <c r="A2371">
        <v>1858.297101923119</v>
      </c>
      <c r="B2371">
        <v>1395.8116704980494</v>
      </c>
    </row>
    <row r="2372" spans="1:2" x14ac:dyDescent="0.2">
      <c r="A2372">
        <v>579.85882486472838</v>
      </c>
      <c r="B2372">
        <v>1399.1987125184387</v>
      </c>
    </row>
    <row r="2373" spans="1:2" x14ac:dyDescent="0.2">
      <c r="A2373">
        <v>-3822.4589400346158</v>
      </c>
      <c r="B2373">
        <v>1416.2590738057042</v>
      </c>
    </row>
    <row r="2374" spans="1:2" x14ac:dyDescent="0.2">
      <c r="A2374">
        <v>6614.5094160770532</v>
      </c>
      <c r="B2374">
        <v>1421.9154412487405</v>
      </c>
    </row>
    <row r="2375" spans="1:2" x14ac:dyDescent="0.2">
      <c r="A2375">
        <v>9497.6584657933563</v>
      </c>
      <c r="B2375">
        <v>1426.2877325685695</v>
      </c>
    </row>
    <row r="2376" spans="1:2" x14ac:dyDescent="0.2">
      <c r="A2376">
        <v>-19893.32874970854</v>
      </c>
      <c r="B2376">
        <v>1438.0907145258971</v>
      </c>
    </row>
    <row r="2377" spans="1:2" x14ac:dyDescent="0.2">
      <c r="A2377">
        <v>32511.851181467922</v>
      </c>
      <c r="B2377">
        <v>1441.458369141008</v>
      </c>
    </row>
    <row r="2378" spans="1:2" x14ac:dyDescent="0.2">
      <c r="A2378">
        <v>-3322.519459621748</v>
      </c>
      <c r="B2378">
        <v>1446.957822798795</v>
      </c>
    </row>
    <row r="2379" spans="1:2" x14ac:dyDescent="0.2">
      <c r="A2379">
        <v>16437.598125248711</v>
      </c>
      <c r="B2379">
        <v>1452.7401460987167</v>
      </c>
    </row>
    <row r="2380" spans="1:2" x14ac:dyDescent="0.2">
      <c r="A2380">
        <v>-10606.181870654749</v>
      </c>
      <c r="B2380">
        <v>1453.2356699593074</v>
      </c>
    </row>
    <row r="2381" spans="1:2" x14ac:dyDescent="0.2">
      <c r="A2381">
        <v>-5608.4450653826352</v>
      </c>
      <c r="B2381">
        <v>1454.0722570056096</v>
      </c>
    </row>
    <row r="2382" spans="1:2" x14ac:dyDescent="0.2">
      <c r="A2382">
        <v>7142.9860458132171</v>
      </c>
      <c r="B2382">
        <v>1462.2626112612779</v>
      </c>
    </row>
    <row r="2383" spans="1:2" x14ac:dyDescent="0.2">
      <c r="A2383">
        <v>9817.9550532892463</v>
      </c>
      <c r="B2383">
        <v>1479.0971817494719</v>
      </c>
    </row>
    <row r="2384" spans="1:2" x14ac:dyDescent="0.2">
      <c r="A2384">
        <v>435.11780108709354</v>
      </c>
      <c r="B2384">
        <v>1483.3798532990622</v>
      </c>
    </row>
    <row r="2385" spans="1:2" x14ac:dyDescent="0.2">
      <c r="A2385">
        <v>8481.2112655551755</v>
      </c>
      <c r="B2385">
        <v>1484.5444263536483</v>
      </c>
    </row>
    <row r="2386" spans="1:2" x14ac:dyDescent="0.2">
      <c r="A2386">
        <v>12169.453733303177</v>
      </c>
      <c r="B2386">
        <v>1489.3114364655339</v>
      </c>
    </row>
    <row r="2387" spans="1:2" x14ac:dyDescent="0.2">
      <c r="A2387">
        <v>8586.6634353243862</v>
      </c>
      <c r="B2387">
        <v>1496.1869865830813</v>
      </c>
    </row>
    <row r="2388" spans="1:2" x14ac:dyDescent="0.2">
      <c r="A2388">
        <v>-32021.578316579515</v>
      </c>
      <c r="B2388">
        <v>1501.7608969882131</v>
      </c>
    </row>
    <row r="2389" spans="1:2" x14ac:dyDescent="0.2">
      <c r="A2389">
        <v>-2429.6553975498246</v>
      </c>
      <c r="B2389">
        <v>1503.935438153625</v>
      </c>
    </row>
    <row r="2390" spans="1:2" x14ac:dyDescent="0.2">
      <c r="A2390">
        <v>5061.4788292085868</v>
      </c>
      <c r="B2390">
        <v>1508.0443580385181</v>
      </c>
    </row>
    <row r="2391" spans="1:2" x14ac:dyDescent="0.2">
      <c r="A2391">
        <v>-11299.484696018189</v>
      </c>
      <c r="B2391">
        <v>1514.8509754051338</v>
      </c>
    </row>
    <row r="2392" spans="1:2" x14ac:dyDescent="0.2">
      <c r="A2392">
        <v>-671.73422082449542</v>
      </c>
      <c r="B2392">
        <v>1521.1780976782902</v>
      </c>
    </row>
    <row r="2393" spans="1:2" x14ac:dyDescent="0.2">
      <c r="A2393">
        <v>-28419.919553889311</v>
      </c>
      <c r="B2393">
        <v>1529.3252639075508</v>
      </c>
    </row>
    <row r="2394" spans="1:2" x14ac:dyDescent="0.2">
      <c r="A2394">
        <v>6414.0146024175338</v>
      </c>
      <c r="B2394">
        <v>1533.4085123937984</v>
      </c>
    </row>
    <row r="2395" spans="1:2" x14ac:dyDescent="0.2">
      <c r="A2395">
        <v>-2718.1170513345278</v>
      </c>
      <c r="B2395">
        <v>1535.2634986868652</v>
      </c>
    </row>
    <row r="2396" spans="1:2" x14ac:dyDescent="0.2">
      <c r="A2396">
        <v>-4943.3780745427939</v>
      </c>
      <c r="B2396">
        <v>1539.1401918348274</v>
      </c>
    </row>
    <row r="2397" spans="1:2" x14ac:dyDescent="0.2">
      <c r="A2397">
        <v>-4669.2708284233813</v>
      </c>
      <c r="B2397">
        <v>1544.2083771767793</v>
      </c>
    </row>
    <row r="2398" spans="1:2" x14ac:dyDescent="0.2">
      <c r="A2398">
        <v>4926.2177549633197</v>
      </c>
      <c r="B2398">
        <v>1546.1939760996029</v>
      </c>
    </row>
    <row r="2399" spans="1:2" x14ac:dyDescent="0.2">
      <c r="A2399">
        <v>2620.866015633801</v>
      </c>
      <c r="B2399">
        <v>1547.3758284007199</v>
      </c>
    </row>
    <row r="2400" spans="1:2" x14ac:dyDescent="0.2">
      <c r="A2400">
        <v>-10725.129752336652</v>
      </c>
      <c r="B2400">
        <v>1556.069639151392</v>
      </c>
    </row>
    <row r="2401" spans="1:2" x14ac:dyDescent="0.2">
      <c r="A2401">
        <v>2613.1589141324512</v>
      </c>
      <c r="B2401">
        <v>1559.2774374731234</v>
      </c>
    </row>
    <row r="2402" spans="1:2" x14ac:dyDescent="0.2">
      <c r="A2402">
        <v>26220.067140588479</v>
      </c>
      <c r="B2402">
        <v>1560.9742129721562</v>
      </c>
    </row>
    <row r="2403" spans="1:2" x14ac:dyDescent="0.2">
      <c r="A2403">
        <v>4856.816036000062</v>
      </c>
      <c r="B2403">
        <v>1566.6840248843073</v>
      </c>
    </row>
    <row r="2404" spans="1:2" x14ac:dyDescent="0.2">
      <c r="A2404">
        <v>-8133.958249567193</v>
      </c>
      <c r="B2404">
        <v>1568.4570800111687</v>
      </c>
    </row>
    <row r="2405" spans="1:2" x14ac:dyDescent="0.2">
      <c r="A2405">
        <v>14502.40535857949</v>
      </c>
      <c r="B2405">
        <v>1575.3651566459448</v>
      </c>
    </row>
    <row r="2406" spans="1:2" x14ac:dyDescent="0.2">
      <c r="A2406">
        <v>3359.2012729480339</v>
      </c>
      <c r="B2406">
        <v>1577.7433900873293</v>
      </c>
    </row>
    <row r="2407" spans="1:2" x14ac:dyDescent="0.2">
      <c r="A2407">
        <v>-1606.135577142617</v>
      </c>
      <c r="B2407">
        <v>1579.9739372092299</v>
      </c>
    </row>
    <row r="2408" spans="1:2" x14ac:dyDescent="0.2">
      <c r="A2408">
        <v>2790.0261357267736</v>
      </c>
      <c r="B2408">
        <v>1581.9836798658653</v>
      </c>
    </row>
    <row r="2409" spans="1:2" x14ac:dyDescent="0.2">
      <c r="A2409">
        <v>-4049.9153701306204</v>
      </c>
      <c r="B2409">
        <v>1586.5855588948471</v>
      </c>
    </row>
    <row r="2410" spans="1:2" x14ac:dyDescent="0.2">
      <c r="A2410">
        <v>-12375.946748257033</v>
      </c>
      <c r="B2410">
        <v>1595.5029945953574</v>
      </c>
    </row>
    <row r="2411" spans="1:2" x14ac:dyDescent="0.2">
      <c r="A2411">
        <v>17313.043214929872</v>
      </c>
      <c r="B2411">
        <v>1597.1920918480901</v>
      </c>
    </row>
    <row r="2412" spans="1:2" x14ac:dyDescent="0.2">
      <c r="A2412">
        <v>-5298.8783932937949</v>
      </c>
      <c r="B2412">
        <v>1606.0809617749183</v>
      </c>
    </row>
    <row r="2413" spans="1:2" x14ac:dyDescent="0.2">
      <c r="A2413">
        <v>2577.7652944466681</v>
      </c>
      <c r="B2413">
        <v>1610.7644738260424</v>
      </c>
    </row>
    <row r="2414" spans="1:2" x14ac:dyDescent="0.2">
      <c r="A2414">
        <v>-13453.544046481402</v>
      </c>
      <c r="B2414">
        <v>1615.3865229462972</v>
      </c>
    </row>
    <row r="2415" spans="1:2" x14ac:dyDescent="0.2">
      <c r="A2415">
        <v>16977.311810049287</v>
      </c>
      <c r="B2415">
        <v>1623.5782856911537</v>
      </c>
    </row>
    <row r="2416" spans="1:2" x14ac:dyDescent="0.2">
      <c r="A2416">
        <v>3515.2276780089596</v>
      </c>
      <c r="B2416">
        <v>1625.371194749343</v>
      </c>
    </row>
    <row r="2417" spans="1:2" x14ac:dyDescent="0.2">
      <c r="A2417">
        <v>6552.1006302442402</v>
      </c>
      <c r="B2417">
        <v>1637.391664210445</v>
      </c>
    </row>
    <row r="2418" spans="1:2" x14ac:dyDescent="0.2">
      <c r="A2418">
        <v>4821.2231433235575</v>
      </c>
      <c r="B2418">
        <v>1641.6839129214932</v>
      </c>
    </row>
    <row r="2419" spans="1:2" x14ac:dyDescent="0.2">
      <c r="A2419">
        <v>2786.2472372232151</v>
      </c>
      <c r="B2419">
        <v>1641.7459110018681</v>
      </c>
    </row>
    <row r="2420" spans="1:2" x14ac:dyDescent="0.2">
      <c r="A2420">
        <v>3292.9106969154964</v>
      </c>
      <c r="B2420">
        <v>1643.3070158799528</v>
      </c>
    </row>
    <row r="2421" spans="1:2" x14ac:dyDescent="0.2">
      <c r="A2421">
        <v>-2179.3696162826964</v>
      </c>
      <c r="B2421">
        <v>1653.1156544575642</v>
      </c>
    </row>
    <row r="2422" spans="1:2" x14ac:dyDescent="0.2">
      <c r="A2422">
        <v>-10079.274795665959</v>
      </c>
      <c r="B2422">
        <v>1653.2539790601295</v>
      </c>
    </row>
    <row r="2423" spans="1:2" x14ac:dyDescent="0.2">
      <c r="A2423">
        <v>4340.2648790120147</v>
      </c>
      <c r="B2423">
        <v>1658.4300302830525</v>
      </c>
    </row>
    <row r="2424" spans="1:2" x14ac:dyDescent="0.2">
      <c r="A2424">
        <v>18258.206912217312</v>
      </c>
      <c r="B2424">
        <v>1660.9310522635933</v>
      </c>
    </row>
    <row r="2425" spans="1:2" x14ac:dyDescent="0.2">
      <c r="A2425">
        <v>3360.6248863609508</v>
      </c>
      <c r="B2425">
        <v>1661.2116144702886</v>
      </c>
    </row>
    <row r="2426" spans="1:2" x14ac:dyDescent="0.2">
      <c r="A2426">
        <v>-8248.0746698913281</v>
      </c>
      <c r="B2426">
        <v>1663.1091353258234</v>
      </c>
    </row>
    <row r="2427" spans="1:2" x14ac:dyDescent="0.2">
      <c r="A2427">
        <v>3738.9537471920194</v>
      </c>
      <c r="B2427">
        <v>1671.2311423017818</v>
      </c>
    </row>
    <row r="2428" spans="1:2" x14ac:dyDescent="0.2">
      <c r="A2428">
        <v>-2276.3658348299214</v>
      </c>
      <c r="B2428">
        <v>1679.546905135503</v>
      </c>
    </row>
    <row r="2429" spans="1:2" x14ac:dyDescent="0.2">
      <c r="A2429">
        <v>-1097.1064147007419</v>
      </c>
      <c r="B2429">
        <v>1682.7955810615676</v>
      </c>
    </row>
    <row r="2430" spans="1:2" x14ac:dyDescent="0.2">
      <c r="A2430">
        <v>-5344.0532642695471</v>
      </c>
      <c r="B2430">
        <v>1686.6265565318463</v>
      </c>
    </row>
    <row r="2431" spans="1:2" x14ac:dyDescent="0.2">
      <c r="A2431">
        <v>3436.8486913654197</v>
      </c>
      <c r="B2431">
        <v>1687.8745815644506</v>
      </c>
    </row>
    <row r="2432" spans="1:2" x14ac:dyDescent="0.2">
      <c r="A2432">
        <v>-4820.1212980681448</v>
      </c>
      <c r="B2432">
        <v>1689.4686712277471</v>
      </c>
    </row>
    <row r="2433" spans="1:2" x14ac:dyDescent="0.2">
      <c r="A2433">
        <v>17261.467309633474</v>
      </c>
      <c r="B2433">
        <v>1692.7314194389037</v>
      </c>
    </row>
    <row r="2434" spans="1:2" x14ac:dyDescent="0.2">
      <c r="A2434">
        <v>15168.565101991058</v>
      </c>
      <c r="B2434">
        <v>1693.813145362772</v>
      </c>
    </row>
    <row r="2435" spans="1:2" x14ac:dyDescent="0.2">
      <c r="A2435">
        <v>12523.963554834831</v>
      </c>
      <c r="B2435">
        <v>1694.94552604403</v>
      </c>
    </row>
    <row r="2436" spans="1:2" x14ac:dyDescent="0.2">
      <c r="A2436">
        <v>15464.437782631139</v>
      </c>
      <c r="B2436">
        <v>1699.7473240547697</v>
      </c>
    </row>
    <row r="2437" spans="1:2" x14ac:dyDescent="0.2">
      <c r="A2437">
        <v>9290.515811192512</v>
      </c>
      <c r="B2437">
        <v>1711.0229245108203</v>
      </c>
    </row>
    <row r="2438" spans="1:2" x14ac:dyDescent="0.2">
      <c r="A2438">
        <v>-33377.300527334737</v>
      </c>
      <c r="B2438">
        <v>1712.510022834409</v>
      </c>
    </row>
    <row r="2439" spans="1:2" x14ac:dyDescent="0.2">
      <c r="A2439">
        <v>5924.8400162036414</v>
      </c>
      <c r="B2439">
        <v>1713.5450038661365</v>
      </c>
    </row>
    <row r="2440" spans="1:2" x14ac:dyDescent="0.2">
      <c r="A2440">
        <v>149.44071831987821</v>
      </c>
      <c r="B2440">
        <v>1714.3489549987717</v>
      </c>
    </row>
    <row r="2441" spans="1:2" x14ac:dyDescent="0.2">
      <c r="A2441">
        <v>-3933.7359959083842</v>
      </c>
      <c r="B2441">
        <v>1714.9418020391022</v>
      </c>
    </row>
    <row r="2442" spans="1:2" x14ac:dyDescent="0.2">
      <c r="A2442">
        <v>2446.2870423784479</v>
      </c>
      <c r="B2442">
        <v>1715.1288426065294</v>
      </c>
    </row>
    <row r="2443" spans="1:2" x14ac:dyDescent="0.2">
      <c r="A2443">
        <v>704.31511396713904</v>
      </c>
      <c r="B2443">
        <v>1715.3671682845161</v>
      </c>
    </row>
    <row r="2444" spans="1:2" x14ac:dyDescent="0.2">
      <c r="A2444">
        <v>-9932.1241168697015</v>
      </c>
      <c r="B2444">
        <v>1732.2625281363726</v>
      </c>
    </row>
    <row r="2445" spans="1:2" x14ac:dyDescent="0.2">
      <c r="A2445">
        <v>3119.4818133105582</v>
      </c>
      <c r="B2445">
        <v>1740.7868748589826</v>
      </c>
    </row>
    <row r="2446" spans="1:2" x14ac:dyDescent="0.2">
      <c r="A2446">
        <v>7086.1420530024334</v>
      </c>
      <c r="B2446">
        <v>1741.1681786378613</v>
      </c>
    </row>
    <row r="2447" spans="1:2" x14ac:dyDescent="0.2">
      <c r="A2447">
        <v>6115.3000890630647</v>
      </c>
      <c r="B2447">
        <v>1747.2197456083377</v>
      </c>
    </row>
    <row r="2448" spans="1:2" x14ac:dyDescent="0.2">
      <c r="A2448">
        <v>11108.520705267874</v>
      </c>
      <c r="B2448">
        <v>1749.8136920150719</v>
      </c>
    </row>
    <row r="2449" spans="1:2" x14ac:dyDescent="0.2">
      <c r="A2449">
        <v>11297.465347948688</v>
      </c>
      <c r="B2449">
        <v>1774.4465933571337</v>
      </c>
    </row>
    <row r="2450" spans="1:2" x14ac:dyDescent="0.2">
      <c r="A2450">
        <v>17416.86167542031</v>
      </c>
      <c r="B2450">
        <v>1775.230035289831</v>
      </c>
    </row>
    <row r="2451" spans="1:2" x14ac:dyDescent="0.2">
      <c r="A2451">
        <v>-179.99861107153993</v>
      </c>
      <c r="B2451">
        <v>1777.9290924876695</v>
      </c>
    </row>
    <row r="2452" spans="1:2" x14ac:dyDescent="0.2">
      <c r="A2452">
        <v>317.30331338485121</v>
      </c>
      <c r="B2452">
        <v>1787.3611483860004</v>
      </c>
    </row>
    <row r="2453" spans="1:2" x14ac:dyDescent="0.2">
      <c r="A2453">
        <v>7708.4238991825259</v>
      </c>
      <c r="B2453">
        <v>1790.5720741393161</v>
      </c>
    </row>
    <row r="2454" spans="1:2" x14ac:dyDescent="0.2">
      <c r="A2454">
        <v>-432.73844479903346</v>
      </c>
      <c r="B2454">
        <v>1793.4501971848949</v>
      </c>
    </row>
    <row r="2455" spans="1:2" x14ac:dyDescent="0.2">
      <c r="A2455">
        <v>11420.058341852273</v>
      </c>
      <c r="B2455">
        <v>1799.4163991780661</v>
      </c>
    </row>
    <row r="2456" spans="1:2" x14ac:dyDescent="0.2">
      <c r="A2456">
        <v>5640.1594418531167</v>
      </c>
      <c r="B2456">
        <v>1800.240662060125</v>
      </c>
    </row>
    <row r="2457" spans="1:2" x14ac:dyDescent="0.2">
      <c r="A2457">
        <v>-12021.253982862399</v>
      </c>
      <c r="B2457">
        <v>1801.5172079253825</v>
      </c>
    </row>
    <row r="2458" spans="1:2" x14ac:dyDescent="0.2">
      <c r="A2458">
        <v>3196.4815042082919</v>
      </c>
      <c r="B2458">
        <v>1803.6560433688865</v>
      </c>
    </row>
    <row r="2459" spans="1:2" x14ac:dyDescent="0.2">
      <c r="A2459">
        <v>6810.6519035623351</v>
      </c>
      <c r="B2459">
        <v>1804.7480338527821</v>
      </c>
    </row>
    <row r="2460" spans="1:2" x14ac:dyDescent="0.2">
      <c r="A2460">
        <v>8084.3468697099306</v>
      </c>
      <c r="B2460">
        <v>1806.7047918184544</v>
      </c>
    </row>
    <row r="2461" spans="1:2" x14ac:dyDescent="0.2">
      <c r="A2461">
        <v>10666.311499455041</v>
      </c>
      <c r="B2461">
        <v>1809.5548331189784</v>
      </c>
    </row>
    <row r="2462" spans="1:2" x14ac:dyDescent="0.2">
      <c r="A2462">
        <v>19303.962589776376</v>
      </c>
      <c r="B2462">
        <v>1819.49891593543</v>
      </c>
    </row>
    <row r="2463" spans="1:2" x14ac:dyDescent="0.2">
      <c r="A2463">
        <v>-6671.9352224193281</v>
      </c>
      <c r="B2463">
        <v>1820.4259211868048</v>
      </c>
    </row>
    <row r="2464" spans="1:2" x14ac:dyDescent="0.2">
      <c r="A2464">
        <v>6292.1546008752193</v>
      </c>
      <c r="B2464">
        <v>1823.5404651961871</v>
      </c>
    </row>
    <row r="2465" spans="1:2" x14ac:dyDescent="0.2">
      <c r="A2465">
        <v>-1702.0143498403777</v>
      </c>
      <c r="B2465">
        <v>1825.0876048873761</v>
      </c>
    </row>
    <row r="2466" spans="1:2" x14ac:dyDescent="0.2">
      <c r="A2466">
        <v>-2682.7266383194656</v>
      </c>
      <c r="B2466">
        <v>1825.0941255054495</v>
      </c>
    </row>
    <row r="2467" spans="1:2" x14ac:dyDescent="0.2">
      <c r="A2467">
        <v>-1600.7297828353476</v>
      </c>
      <c r="B2467">
        <v>1825.8600636919728</v>
      </c>
    </row>
    <row r="2468" spans="1:2" x14ac:dyDescent="0.2">
      <c r="A2468">
        <v>-5846.0670968253689</v>
      </c>
      <c r="B2468">
        <v>1844.9885376802704</v>
      </c>
    </row>
    <row r="2469" spans="1:2" x14ac:dyDescent="0.2">
      <c r="A2469">
        <v>11853.976632543665</v>
      </c>
      <c r="B2469">
        <v>1848.4478003738914</v>
      </c>
    </row>
    <row r="2470" spans="1:2" x14ac:dyDescent="0.2">
      <c r="A2470">
        <v>365.36984080797993</v>
      </c>
      <c r="B2470">
        <v>1858.297101923119</v>
      </c>
    </row>
    <row r="2471" spans="1:2" x14ac:dyDescent="0.2">
      <c r="A2471">
        <v>11957.252832599217</v>
      </c>
      <c r="B2471">
        <v>1858.2972736135125</v>
      </c>
    </row>
    <row r="2472" spans="1:2" x14ac:dyDescent="0.2">
      <c r="A2472">
        <v>10039.117083203659</v>
      </c>
      <c r="B2472">
        <v>1859.49501567689</v>
      </c>
    </row>
    <row r="2473" spans="1:2" x14ac:dyDescent="0.2">
      <c r="A2473">
        <v>-4788.8020426451112</v>
      </c>
      <c r="B2473">
        <v>1861.1253448678763</v>
      </c>
    </row>
    <row r="2474" spans="1:2" x14ac:dyDescent="0.2">
      <c r="A2474">
        <v>2439.3463738797</v>
      </c>
      <c r="B2474">
        <v>1863.281329433783</v>
      </c>
    </row>
    <row r="2475" spans="1:2" x14ac:dyDescent="0.2">
      <c r="A2475">
        <v>-10565.905460931186</v>
      </c>
      <c r="B2475">
        <v>1863.5318877486861</v>
      </c>
    </row>
    <row r="2476" spans="1:2" x14ac:dyDescent="0.2">
      <c r="A2476">
        <v>-6482.2645036875037</v>
      </c>
      <c r="B2476">
        <v>1871.3744987801183</v>
      </c>
    </row>
    <row r="2477" spans="1:2" x14ac:dyDescent="0.2">
      <c r="A2477">
        <v>3466.1503311002161</v>
      </c>
      <c r="B2477">
        <v>1873.5201517099631</v>
      </c>
    </row>
    <row r="2478" spans="1:2" x14ac:dyDescent="0.2">
      <c r="A2478">
        <v>7975.6047060534474</v>
      </c>
      <c r="B2478">
        <v>1882.547136634661</v>
      </c>
    </row>
    <row r="2479" spans="1:2" x14ac:dyDescent="0.2">
      <c r="A2479">
        <v>5407.3208732928033</v>
      </c>
      <c r="B2479">
        <v>1895.0474289896374</v>
      </c>
    </row>
    <row r="2480" spans="1:2" x14ac:dyDescent="0.2">
      <c r="A2480">
        <v>-4122.4528299888334</v>
      </c>
      <c r="B2480">
        <v>1899.7461613658816</v>
      </c>
    </row>
    <row r="2481" spans="1:2" x14ac:dyDescent="0.2">
      <c r="A2481">
        <v>21373.87514963944</v>
      </c>
      <c r="B2481">
        <v>1900.3414988602162</v>
      </c>
    </row>
    <row r="2482" spans="1:2" x14ac:dyDescent="0.2">
      <c r="A2482">
        <v>14369.513398209849</v>
      </c>
      <c r="B2482">
        <v>1904.6193191756029</v>
      </c>
    </row>
    <row r="2483" spans="1:2" x14ac:dyDescent="0.2">
      <c r="A2483">
        <v>6993.4201407190703</v>
      </c>
      <c r="B2483">
        <v>1906.2205759334611</v>
      </c>
    </row>
    <row r="2484" spans="1:2" x14ac:dyDescent="0.2">
      <c r="A2484">
        <v>-6772.8577788551629</v>
      </c>
      <c r="B2484">
        <v>1906.246414170455</v>
      </c>
    </row>
    <row r="2485" spans="1:2" x14ac:dyDescent="0.2">
      <c r="A2485">
        <v>4535.9990753816674</v>
      </c>
      <c r="B2485">
        <v>1911.5703411349677</v>
      </c>
    </row>
    <row r="2486" spans="1:2" x14ac:dyDescent="0.2">
      <c r="A2486">
        <v>-5866.8773717505828</v>
      </c>
      <c r="B2486">
        <v>1919.5944644103874</v>
      </c>
    </row>
    <row r="2487" spans="1:2" x14ac:dyDescent="0.2">
      <c r="A2487">
        <v>3481.3834311571263</v>
      </c>
      <c r="B2487">
        <v>1921.9411273840233</v>
      </c>
    </row>
    <row r="2488" spans="1:2" x14ac:dyDescent="0.2">
      <c r="A2488">
        <v>19649.461417360406</v>
      </c>
      <c r="B2488">
        <v>1931.1038774098852</v>
      </c>
    </row>
    <row r="2489" spans="1:2" x14ac:dyDescent="0.2">
      <c r="A2489">
        <v>-1489.2995400038781</v>
      </c>
      <c r="B2489">
        <v>1938.0714906175854</v>
      </c>
    </row>
    <row r="2490" spans="1:2" x14ac:dyDescent="0.2">
      <c r="A2490">
        <v>-9221.6281384550966</v>
      </c>
      <c r="B2490">
        <v>1940.3976398596715</v>
      </c>
    </row>
    <row r="2491" spans="1:2" x14ac:dyDescent="0.2">
      <c r="A2491">
        <v>-7661.4765314823017</v>
      </c>
      <c r="B2491">
        <v>1943.3026616622228</v>
      </c>
    </row>
    <row r="2492" spans="1:2" x14ac:dyDescent="0.2">
      <c r="A2492">
        <v>6058.78064700705</v>
      </c>
      <c r="B2492">
        <v>1953.3159606363333</v>
      </c>
    </row>
    <row r="2493" spans="1:2" x14ac:dyDescent="0.2">
      <c r="A2493">
        <v>-9037.0610274290957</v>
      </c>
      <c r="B2493">
        <v>1957.0936971341725</v>
      </c>
    </row>
    <row r="2494" spans="1:2" x14ac:dyDescent="0.2">
      <c r="A2494">
        <v>2200.4545868114801</v>
      </c>
      <c r="B2494">
        <v>1959.9532931302092</v>
      </c>
    </row>
    <row r="2495" spans="1:2" x14ac:dyDescent="0.2">
      <c r="A2495">
        <v>-2204.5384159774694</v>
      </c>
      <c r="B2495">
        <v>1961.6681337796617</v>
      </c>
    </row>
    <row r="2496" spans="1:2" x14ac:dyDescent="0.2">
      <c r="A2496">
        <v>8224.0288323624991</v>
      </c>
      <c r="B2496">
        <v>1968.7214451392065</v>
      </c>
    </row>
    <row r="2497" spans="1:2" x14ac:dyDescent="0.2">
      <c r="A2497">
        <v>5861.1849777838215</v>
      </c>
      <c r="B2497">
        <v>1972.9904047895106</v>
      </c>
    </row>
    <row r="2498" spans="1:2" x14ac:dyDescent="0.2">
      <c r="A2498">
        <v>-11483.219017338473</v>
      </c>
      <c r="B2498">
        <v>1980.1456431961269</v>
      </c>
    </row>
    <row r="2499" spans="1:2" x14ac:dyDescent="0.2">
      <c r="A2499">
        <v>11593.980269256805</v>
      </c>
      <c r="B2499">
        <v>1988.941042278544</v>
      </c>
    </row>
    <row r="2500" spans="1:2" x14ac:dyDescent="0.2">
      <c r="A2500">
        <v>8802.95797254637</v>
      </c>
      <c r="B2500">
        <v>1994.315321835631</v>
      </c>
    </row>
    <row r="2501" spans="1:2" x14ac:dyDescent="0.2">
      <c r="A2501">
        <v>22675.297882498591</v>
      </c>
      <c r="B2501">
        <v>1996.2456701456686</v>
      </c>
    </row>
    <row r="2502" spans="1:2" x14ac:dyDescent="0.2">
      <c r="A2502">
        <v>-2586.2197755526286</v>
      </c>
      <c r="B2502">
        <v>1998.2014054210158</v>
      </c>
    </row>
    <row r="2503" spans="1:2" x14ac:dyDescent="0.2">
      <c r="A2503">
        <v>-19746.777874963591</v>
      </c>
      <c r="B2503">
        <v>1999.6878540045</v>
      </c>
    </row>
    <row r="2504" spans="1:2" x14ac:dyDescent="0.2">
      <c r="A2504">
        <v>-5260.6469797999016</v>
      </c>
      <c r="B2504">
        <v>2013.76466786128</v>
      </c>
    </row>
    <row r="2505" spans="1:2" x14ac:dyDescent="0.2">
      <c r="A2505">
        <v>5474.7790914128418</v>
      </c>
      <c r="B2505">
        <v>2014.2665095952107</v>
      </c>
    </row>
    <row r="2506" spans="1:2" x14ac:dyDescent="0.2">
      <c r="A2506">
        <v>16358.555732080218</v>
      </c>
      <c r="B2506">
        <v>2014.3379969714442</v>
      </c>
    </row>
    <row r="2507" spans="1:2" x14ac:dyDescent="0.2">
      <c r="A2507">
        <v>-7530.2745812627836</v>
      </c>
      <c r="B2507">
        <v>2016.1110258845147</v>
      </c>
    </row>
    <row r="2508" spans="1:2" x14ac:dyDescent="0.2">
      <c r="A2508">
        <v>-11830.726074457954</v>
      </c>
      <c r="B2508">
        <v>2018.8039453556412</v>
      </c>
    </row>
    <row r="2509" spans="1:2" x14ac:dyDescent="0.2">
      <c r="A2509">
        <v>11155.612158179691</v>
      </c>
      <c r="B2509">
        <v>2020.9429803846288</v>
      </c>
    </row>
    <row r="2510" spans="1:2" x14ac:dyDescent="0.2">
      <c r="A2510">
        <v>-9946.511071383924</v>
      </c>
      <c r="B2510">
        <v>2039.0494261025451</v>
      </c>
    </row>
    <row r="2511" spans="1:2" x14ac:dyDescent="0.2">
      <c r="A2511">
        <v>-8386.1443350092741</v>
      </c>
      <c r="B2511">
        <v>2055.3727237651474</v>
      </c>
    </row>
    <row r="2512" spans="1:2" x14ac:dyDescent="0.2">
      <c r="A2512">
        <v>14064.779989536648</v>
      </c>
      <c r="B2512">
        <v>2055.464474936889</v>
      </c>
    </row>
    <row r="2513" spans="1:2" x14ac:dyDescent="0.2">
      <c r="A2513">
        <v>8677.9371540879365</v>
      </c>
      <c r="B2513">
        <v>2059.2373228036158</v>
      </c>
    </row>
    <row r="2514" spans="1:2" x14ac:dyDescent="0.2">
      <c r="A2514">
        <v>11410.706364399986</v>
      </c>
      <c r="B2514">
        <v>2060.289781213447</v>
      </c>
    </row>
    <row r="2515" spans="1:2" x14ac:dyDescent="0.2">
      <c r="A2515">
        <v>2263.291433647275</v>
      </c>
      <c r="B2515">
        <v>2063.6208753596293</v>
      </c>
    </row>
    <row r="2516" spans="1:2" x14ac:dyDescent="0.2">
      <c r="A2516">
        <v>3363.276494048303</v>
      </c>
      <c r="B2516">
        <v>2064.9356537052954</v>
      </c>
    </row>
    <row r="2517" spans="1:2" x14ac:dyDescent="0.2">
      <c r="A2517">
        <v>3296.3504248168028</v>
      </c>
      <c r="B2517">
        <v>2068.2583208048309</v>
      </c>
    </row>
    <row r="2518" spans="1:2" x14ac:dyDescent="0.2">
      <c r="A2518">
        <v>15267.498284152651</v>
      </c>
      <c r="B2518">
        <v>2072.5029964238638</v>
      </c>
    </row>
    <row r="2519" spans="1:2" x14ac:dyDescent="0.2">
      <c r="A2519">
        <v>764.08309842692688</v>
      </c>
      <c r="B2519">
        <v>2075.2534423489124</v>
      </c>
    </row>
    <row r="2520" spans="1:2" x14ac:dyDescent="0.2">
      <c r="A2520">
        <v>-3440.2610043153109</v>
      </c>
      <c r="B2520">
        <v>2076.6654826110462</v>
      </c>
    </row>
    <row r="2521" spans="1:2" x14ac:dyDescent="0.2">
      <c r="A2521">
        <v>9822.0757657876238</v>
      </c>
      <c r="B2521">
        <v>2085.074031480297</v>
      </c>
    </row>
    <row r="2522" spans="1:2" x14ac:dyDescent="0.2">
      <c r="A2522">
        <v>17402.712808696888</v>
      </c>
      <c r="B2522">
        <v>2085.3460790599347</v>
      </c>
    </row>
    <row r="2523" spans="1:2" x14ac:dyDescent="0.2">
      <c r="A2523">
        <v>-2165.2014671424404</v>
      </c>
      <c r="B2523">
        <v>2088.4596903641068</v>
      </c>
    </row>
    <row r="2524" spans="1:2" x14ac:dyDescent="0.2">
      <c r="A2524">
        <v>-10156.462437023292</v>
      </c>
      <c r="B2524">
        <v>2092.4434953756572</v>
      </c>
    </row>
    <row r="2525" spans="1:2" x14ac:dyDescent="0.2">
      <c r="A2525">
        <v>-5041.3698364159209</v>
      </c>
      <c r="B2525">
        <v>2093.1920873806521</v>
      </c>
    </row>
    <row r="2526" spans="1:2" x14ac:dyDescent="0.2">
      <c r="A2526">
        <v>-11262.627714946459</v>
      </c>
      <c r="B2526">
        <v>2097.4049207259086</v>
      </c>
    </row>
    <row r="2527" spans="1:2" x14ac:dyDescent="0.2">
      <c r="A2527">
        <v>-4245.2811577054672</v>
      </c>
      <c r="B2527">
        <v>2099.3075049037579</v>
      </c>
    </row>
    <row r="2528" spans="1:2" x14ac:dyDescent="0.2">
      <c r="A2528">
        <v>-8911.7134339751501</v>
      </c>
      <c r="B2528">
        <v>2101.7020673945663</v>
      </c>
    </row>
    <row r="2529" spans="1:2" x14ac:dyDescent="0.2">
      <c r="A2529">
        <v>5256.3673907956691</v>
      </c>
      <c r="B2529">
        <v>2117.7518619571347</v>
      </c>
    </row>
    <row r="2530" spans="1:2" x14ac:dyDescent="0.2">
      <c r="A2530">
        <v>-9275.820581374719</v>
      </c>
      <c r="B2530">
        <v>2124.4827004416729</v>
      </c>
    </row>
    <row r="2531" spans="1:2" x14ac:dyDescent="0.2">
      <c r="A2531">
        <v>19023.355797951765</v>
      </c>
      <c r="B2531">
        <v>2130.1790663018764</v>
      </c>
    </row>
    <row r="2532" spans="1:2" x14ac:dyDescent="0.2">
      <c r="A2532">
        <v>-10298.064504968934</v>
      </c>
      <c r="B2532">
        <v>2140.1788438837975</v>
      </c>
    </row>
    <row r="2533" spans="1:2" x14ac:dyDescent="0.2">
      <c r="A2533">
        <v>1623.5782856911537</v>
      </c>
      <c r="B2533">
        <v>2142.9831979878072</v>
      </c>
    </row>
    <row r="2534" spans="1:2" x14ac:dyDescent="0.2">
      <c r="A2534">
        <v>-13305.619361293269</v>
      </c>
      <c r="B2534">
        <v>2146.4085115275229</v>
      </c>
    </row>
    <row r="2535" spans="1:2" x14ac:dyDescent="0.2">
      <c r="A2535">
        <v>1312.1620908120531</v>
      </c>
      <c r="B2535">
        <v>2149.1283874738729</v>
      </c>
    </row>
    <row r="2536" spans="1:2" x14ac:dyDescent="0.2">
      <c r="A2536">
        <v>-576.63464770000428</v>
      </c>
      <c r="B2536">
        <v>2161.4835334685631</v>
      </c>
    </row>
    <row r="2537" spans="1:2" x14ac:dyDescent="0.2">
      <c r="A2537">
        <v>10669.101909167919</v>
      </c>
      <c r="B2537">
        <v>2162.944026760757</v>
      </c>
    </row>
    <row r="2538" spans="1:2" x14ac:dyDescent="0.2">
      <c r="A2538">
        <v>4226.8890638272278</v>
      </c>
      <c r="B2538">
        <v>2167.299619200523</v>
      </c>
    </row>
    <row r="2539" spans="1:2" x14ac:dyDescent="0.2">
      <c r="A2539">
        <v>9177.5565429660783</v>
      </c>
      <c r="B2539">
        <v>2174.0978111381992</v>
      </c>
    </row>
    <row r="2540" spans="1:2" x14ac:dyDescent="0.2">
      <c r="A2540">
        <v>-9622.1025576536776</v>
      </c>
      <c r="B2540">
        <v>2189.0291988954996</v>
      </c>
    </row>
    <row r="2541" spans="1:2" x14ac:dyDescent="0.2">
      <c r="A2541">
        <v>1282.9239996753458</v>
      </c>
      <c r="B2541">
        <v>2200.4545868114801</v>
      </c>
    </row>
    <row r="2542" spans="1:2" x14ac:dyDescent="0.2">
      <c r="A2542">
        <v>-6052.7675140897336</v>
      </c>
      <c r="B2542">
        <v>2205.2547328033834</v>
      </c>
    </row>
    <row r="2543" spans="1:2" x14ac:dyDescent="0.2">
      <c r="A2543">
        <v>-26270.942264180805</v>
      </c>
      <c r="B2543">
        <v>2212.4942962551722</v>
      </c>
    </row>
    <row r="2544" spans="1:2" x14ac:dyDescent="0.2">
      <c r="A2544">
        <v>-3924.0628605697711</v>
      </c>
      <c r="B2544">
        <v>2213.6777858886926</v>
      </c>
    </row>
    <row r="2545" spans="1:2" x14ac:dyDescent="0.2">
      <c r="A2545">
        <v>23176.419257822199</v>
      </c>
      <c r="B2545">
        <v>2214.5180700377532</v>
      </c>
    </row>
    <row r="2546" spans="1:2" x14ac:dyDescent="0.2">
      <c r="A2546">
        <v>-10841.752466660837</v>
      </c>
      <c r="B2546">
        <v>2215.8618783524435</v>
      </c>
    </row>
    <row r="2547" spans="1:2" x14ac:dyDescent="0.2">
      <c r="A2547">
        <v>-804.42498684581369</v>
      </c>
      <c r="B2547">
        <v>2218.0371681958786</v>
      </c>
    </row>
    <row r="2548" spans="1:2" x14ac:dyDescent="0.2">
      <c r="A2548">
        <v>4807.5719693503343</v>
      </c>
      <c r="B2548">
        <v>2219.7501518589852</v>
      </c>
    </row>
    <row r="2549" spans="1:2" x14ac:dyDescent="0.2">
      <c r="A2549">
        <v>12387.814363211859</v>
      </c>
      <c r="B2549">
        <v>2236.1465066766832</v>
      </c>
    </row>
    <row r="2550" spans="1:2" x14ac:dyDescent="0.2">
      <c r="A2550">
        <v>-12113.928017209197</v>
      </c>
      <c r="B2550">
        <v>2236.3518015812442</v>
      </c>
    </row>
    <row r="2551" spans="1:2" x14ac:dyDescent="0.2">
      <c r="A2551">
        <v>1193.4454076446127</v>
      </c>
      <c r="B2551">
        <v>2237.3774801798572</v>
      </c>
    </row>
    <row r="2552" spans="1:2" x14ac:dyDescent="0.2">
      <c r="A2552">
        <v>6340.3381726477819</v>
      </c>
      <c r="B2552">
        <v>2246.5759314345778</v>
      </c>
    </row>
    <row r="2553" spans="1:2" x14ac:dyDescent="0.2">
      <c r="A2553">
        <v>6460.4524361440272</v>
      </c>
      <c r="B2553">
        <v>2250.5665478678129</v>
      </c>
    </row>
    <row r="2554" spans="1:2" x14ac:dyDescent="0.2">
      <c r="A2554">
        <v>-19110.058418771077</v>
      </c>
      <c r="B2554">
        <v>2256.891587618622</v>
      </c>
    </row>
    <row r="2555" spans="1:2" x14ac:dyDescent="0.2">
      <c r="A2555">
        <v>10684.687168528733</v>
      </c>
      <c r="B2555">
        <v>2262.5334612025472</v>
      </c>
    </row>
    <row r="2556" spans="1:2" x14ac:dyDescent="0.2">
      <c r="A2556">
        <v>-2702.6498947181972</v>
      </c>
      <c r="B2556">
        <v>2262.9132309836568</v>
      </c>
    </row>
    <row r="2557" spans="1:2" x14ac:dyDescent="0.2">
      <c r="A2557">
        <v>12578.850121213123</v>
      </c>
      <c r="B2557">
        <v>2263.291433647275</v>
      </c>
    </row>
    <row r="2558" spans="1:2" x14ac:dyDescent="0.2">
      <c r="A2558">
        <v>2679.7485174758476</v>
      </c>
      <c r="B2558">
        <v>2273.0763996982132</v>
      </c>
    </row>
    <row r="2559" spans="1:2" x14ac:dyDescent="0.2">
      <c r="A2559">
        <v>-14558.491907556541</v>
      </c>
      <c r="B2559">
        <v>2275.9407341698534</v>
      </c>
    </row>
    <row r="2560" spans="1:2" x14ac:dyDescent="0.2">
      <c r="A2560">
        <v>30802.363778557527</v>
      </c>
      <c r="B2560">
        <v>2283.9883466647589</v>
      </c>
    </row>
    <row r="2561" spans="1:2" x14ac:dyDescent="0.2">
      <c r="A2561">
        <v>-9331.6952211504686</v>
      </c>
      <c r="B2561">
        <v>2285.0134086461039</v>
      </c>
    </row>
    <row r="2562" spans="1:2" x14ac:dyDescent="0.2">
      <c r="A2562">
        <v>5898.4910494901997</v>
      </c>
      <c r="B2562">
        <v>2286.417796978858</v>
      </c>
    </row>
    <row r="2563" spans="1:2" x14ac:dyDescent="0.2">
      <c r="A2563">
        <v>-2734.7476108174305</v>
      </c>
      <c r="B2563">
        <v>2301.2045702872565</v>
      </c>
    </row>
    <row r="2564" spans="1:2" x14ac:dyDescent="0.2">
      <c r="A2564">
        <v>11369.743962137785</v>
      </c>
      <c r="B2564">
        <v>2305.5474540377909</v>
      </c>
    </row>
    <row r="2565" spans="1:2" x14ac:dyDescent="0.2">
      <c r="A2565">
        <v>-257.0786900986277</v>
      </c>
      <c r="B2565">
        <v>2309.6291803785134</v>
      </c>
    </row>
    <row r="2566" spans="1:2" x14ac:dyDescent="0.2">
      <c r="A2566">
        <v>15929.389996836195</v>
      </c>
      <c r="B2566">
        <v>2310.3316205738811</v>
      </c>
    </row>
    <row r="2567" spans="1:2" x14ac:dyDescent="0.2">
      <c r="A2567">
        <v>2974.8942991232325</v>
      </c>
      <c r="B2567">
        <v>2313.9984112216334</v>
      </c>
    </row>
    <row r="2568" spans="1:2" x14ac:dyDescent="0.2">
      <c r="A2568">
        <v>2327.2284659937141</v>
      </c>
      <c r="B2568">
        <v>2315.8343611279852</v>
      </c>
    </row>
    <row r="2569" spans="1:2" x14ac:dyDescent="0.2">
      <c r="A2569">
        <v>12487.826878316555</v>
      </c>
      <c r="B2569">
        <v>2327.2284659937141</v>
      </c>
    </row>
    <row r="2570" spans="1:2" x14ac:dyDescent="0.2">
      <c r="A2570">
        <v>-18315.563618906017</v>
      </c>
      <c r="B2570">
        <v>2329.7606497015222</v>
      </c>
    </row>
    <row r="2571" spans="1:2" x14ac:dyDescent="0.2">
      <c r="A2571">
        <v>7864.0794685700967</v>
      </c>
      <c r="B2571">
        <v>2331.3121795990446</v>
      </c>
    </row>
    <row r="2572" spans="1:2" x14ac:dyDescent="0.2">
      <c r="A2572">
        <v>-1061.4617765021394</v>
      </c>
      <c r="B2572">
        <v>2332.0559815343004</v>
      </c>
    </row>
    <row r="2573" spans="1:2" x14ac:dyDescent="0.2">
      <c r="A2573">
        <v>-12106.710441447358</v>
      </c>
      <c r="B2573">
        <v>2338.2840697262436</v>
      </c>
    </row>
    <row r="2574" spans="1:2" x14ac:dyDescent="0.2">
      <c r="A2574">
        <v>11058.865227130416</v>
      </c>
      <c r="B2574">
        <v>2340.7327843105886</v>
      </c>
    </row>
    <row r="2575" spans="1:2" x14ac:dyDescent="0.2">
      <c r="A2575">
        <v>-3466.7142375393887</v>
      </c>
      <c r="B2575">
        <v>2344.3140173800639</v>
      </c>
    </row>
    <row r="2576" spans="1:2" x14ac:dyDescent="0.2">
      <c r="A2576">
        <v>587.45891766613931</v>
      </c>
      <c r="B2576">
        <v>2345.1882854333962</v>
      </c>
    </row>
    <row r="2577" spans="1:2" x14ac:dyDescent="0.2">
      <c r="A2577">
        <v>2064.9356537052954</v>
      </c>
      <c r="B2577">
        <v>2350.0148538216017</v>
      </c>
    </row>
    <row r="2578" spans="1:2" x14ac:dyDescent="0.2">
      <c r="A2578">
        <v>1577.7433900873293</v>
      </c>
      <c r="B2578">
        <v>2351.8277033145132</v>
      </c>
    </row>
    <row r="2579" spans="1:2" x14ac:dyDescent="0.2">
      <c r="A2579">
        <v>1825.0876048873761</v>
      </c>
      <c r="B2579">
        <v>2361.6077065550489</v>
      </c>
    </row>
    <row r="2580" spans="1:2" x14ac:dyDescent="0.2">
      <c r="A2580">
        <v>1206.6452550761751</v>
      </c>
      <c r="B2580">
        <v>2362.1079183943802</v>
      </c>
    </row>
    <row r="2581" spans="1:2" x14ac:dyDescent="0.2">
      <c r="A2581">
        <v>-7213.7627780294279</v>
      </c>
      <c r="B2581">
        <v>2368.8846167608863</v>
      </c>
    </row>
    <row r="2582" spans="1:2" x14ac:dyDescent="0.2">
      <c r="A2582">
        <v>-2159.9041090066021</v>
      </c>
      <c r="B2582">
        <v>2372.9611815937678</v>
      </c>
    </row>
    <row r="2583" spans="1:2" x14ac:dyDescent="0.2">
      <c r="A2583">
        <v>-7074.4253969015845</v>
      </c>
      <c r="B2583">
        <v>2374.2085274090059</v>
      </c>
    </row>
    <row r="2584" spans="1:2" x14ac:dyDescent="0.2">
      <c r="A2584">
        <v>1176.3850083280122</v>
      </c>
      <c r="B2584">
        <v>2374.5382863659761</v>
      </c>
    </row>
    <row r="2585" spans="1:2" x14ac:dyDescent="0.2">
      <c r="A2585">
        <v>19744.68706132361</v>
      </c>
      <c r="B2585">
        <v>2374.8225955996895</v>
      </c>
    </row>
    <row r="2586" spans="1:2" x14ac:dyDescent="0.2">
      <c r="A2586">
        <v>15824.288862284797</v>
      </c>
      <c r="B2586">
        <v>2384.8670614701114</v>
      </c>
    </row>
    <row r="2587" spans="1:2" x14ac:dyDescent="0.2">
      <c r="A2587">
        <v>-12068.090065431315</v>
      </c>
      <c r="B2587">
        <v>2386.3679495444521</v>
      </c>
    </row>
    <row r="2588" spans="1:2" x14ac:dyDescent="0.2">
      <c r="A2588">
        <v>1056.8067141644715</v>
      </c>
      <c r="B2588">
        <v>2388.2333328876412</v>
      </c>
    </row>
    <row r="2589" spans="1:2" x14ac:dyDescent="0.2">
      <c r="A2589">
        <v>-5340.3920550987823</v>
      </c>
      <c r="B2589">
        <v>2398.9433242408559</v>
      </c>
    </row>
    <row r="2590" spans="1:2" x14ac:dyDescent="0.2">
      <c r="A2590">
        <v>8992.7366316409752</v>
      </c>
      <c r="B2590">
        <v>2399.7835559679952</v>
      </c>
    </row>
    <row r="2591" spans="1:2" x14ac:dyDescent="0.2">
      <c r="A2591">
        <v>-1490.0050959264627</v>
      </c>
      <c r="B2591">
        <v>2403.2173515411559</v>
      </c>
    </row>
    <row r="2592" spans="1:2" x14ac:dyDescent="0.2">
      <c r="A2592">
        <v>774.99802428676048</v>
      </c>
      <c r="B2592">
        <v>2414.0328624901304</v>
      </c>
    </row>
    <row r="2593" spans="1:2" x14ac:dyDescent="0.2">
      <c r="A2593">
        <v>4504.4106421451725</v>
      </c>
      <c r="B2593">
        <v>2415.442842341814</v>
      </c>
    </row>
    <row r="2594" spans="1:2" x14ac:dyDescent="0.2">
      <c r="A2594">
        <v>-14362.229144165874</v>
      </c>
      <c r="B2594">
        <v>2416.3833889666712</v>
      </c>
    </row>
    <row r="2595" spans="1:2" x14ac:dyDescent="0.2">
      <c r="A2595">
        <v>-4255.625996283401</v>
      </c>
      <c r="B2595">
        <v>2429.6947761850606</v>
      </c>
    </row>
    <row r="2596" spans="1:2" x14ac:dyDescent="0.2">
      <c r="A2596">
        <v>11749.48461944866</v>
      </c>
      <c r="B2596">
        <v>2436.4591881153756</v>
      </c>
    </row>
    <row r="2597" spans="1:2" x14ac:dyDescent="0.2">
      <c r="A2597">
        <v>8244.7725530955358</v>
      </c>
      <c r="B2597">
        <v>2439.3463738797</v>
      </c>
    </row>
    <row r="2598" spans="1:2" x14ac:dyDescent="0.2">
      <c r="A2598">
        <v>-7633.2936284799362</v>
      </c>
      <c r="B2598">
        <v>2446.2870423784479</v>
      </c>
    </row>
    <row r="2599" spans="1:2" x14ac:dyDescent="0.2">
      <c r="A2599">
        <v>-2743.3659387380467</v>
      </c>
      <c r="B2599">
        <v>2450.6831817174389</v>
      </c>
    </row>
    <row r="2600" spans="1:2" x14ac:dyDescent="0.2">
      <c r="A2600">
        <v>-3102.2871643162798</v>
      </c>
      <c r="B2600">
        <v>2452.5419804364792</v>
      </c>
    </row>
    <row r="2601" spans="1:2" x14ac:dyDescent="0.2">
      <c r="A2601">
        <v>-9633.8073049192317</v>
      </c>
      <c r="B2601">
        <v>2452.9438063613488</v>
      </c>
    </row>
    <row r="2602" spans="1:2" x14ac:dyDescent="0.2">
      <c r="A2602">
        <v>-395.00204219430452</v>
      </c>
      <c r="B2602">
        <v>2455.1370634745108</v>
      </c>
    </row>
    <row r="2603" spans="1:2" x14ac:dyDescent="0.2">
      <c r="A2603">
        <v>-9010.1546210733941</v>
      </c>
      <c r="B2603">
        <v>2456.1249411177705</v>
      </c>
    </row>
    <row r="2604" spans="1:2" x14ac:dyDescent="0.2">
      <c r="A2604">
        <v>9559.912993955717</v>
      </c>
      <c r="B2604">
        <v>2456.4320034806442</v>
      </c>
    </row>
    <row r="2605" spans="1:2" x14ac:dyDescent="0.2">
      <c r="A2605">
        <v>-6750.3667640811182</v>
      </c>
      <c r="B2605">
        <v>2469.9284337720019</v>
      </c>
    </row>
    <row r="2606" spans="1:2" x14ac:dyDescent="0.2">
      <c r="A2606">
        <v>2543.1886571269133</v>
      </c>
      <c r="B2606">
        <v>2471.7847959049104</v>
      </c>
    </row>
    <row r="2607" spans="1:2" x14ac:dyDescent="0.2">
      <c r="A2607">
        <v>11964.014858969313</v>
      </c>
      <c r="B2607">
        <v>2474.8766709556803</v>
      </c>
    </row>
    <row r="2608" spans="1:2" x14ac:dyDescent="0.2">
      <c r="A2608">
        <v>-20043.733900334453</v>
      </c>
      <c r="B2608">
        <v>2479.3343266145384</v>
      </c>
    </row>
    <row r="2609" spans="1:2" x14ac:dyDescent="0.2">
      <c r="A2609">
        <v>8812.1768924958888</v>
      </c>
      <c r="B2609">
        <v>2482.1843630576623</v>
      </c>
    </row>
    <row r="2610" spans="1:2" x14ac:dyDescent="0.2">
      <c r="A2610">
        <v>17088.094387830846</v>
      </c>
      <c r="B2610">
        <v>2487.7018843705882</v>
      </c>
    </row>
    <row r="2611" spans="1:2" x14ac:dyDescent="0.2">
      <c r="A2611">
        <v>-3706.4585932771442</v>
      </c>
      <c r="B2611">
        <v>2491.2308681156719</v>
      </c>
    </row>
    <row r="2612" spans="1:2" x14ac:dyDescent="0.2">
      <c r="A2612">
        <v>12573.322565753886</v>
      </c>
      <c r="B2612">
        <v>2493.3823361694522</v>
      </c>
    </row>
    <row r="2613" spans="1:2" x14ac:dyDescent="0.2">
      <c r="A2613">
        <v>7152.8494472153252</v>
      </c>
      <c r="B2613">
        <v>2498.9484793105221</v>
      </c>
    </row>
    <row r="2614" spans="1:2" x14ac:dyDescent="0.2">
      <c r="A2614">
        <v>19848.250315149664</v>
      </c>
      <c r="B2614">
        <v>2501.4273150712834</v>
      </c>
    </row>
    <row r="2615" spans="1:2" x14ac:dyDescent="0.2">
      <c r="A2615">
        <v>7353.0982478173974</v>
      </c>
      <c r="B2615">
        <v>2504.7773152826994</v>
      </c>
    </row>
    <row r="2616" spans="1:2" x14ac:dyDescent="0.2">
      <c r="A2616">
        <v>1911.5703411349677</v>
      </c>
      <c r="B2616">
        <v>2511.78347303177</v>
      </c>
    </row>
    <row r="2617" spans="1:2" x14ac:dyDescent="0.2">
      <c r="A2617">
        <v>-8281.4642155278125</v>
      </c>
      <c r="B2617">
        <v>2512.6861348206003</v>
      </c>
    </row>
    <row r="2618" spans="1:2" x14ac:dyDescent="0.2">
      <c r="A2618">
        <v>-17153.6216577632</v>
      </c>
      <c r="B2618">
        <v>2521.7187820067047</v>
      </c>
    </row>
    <row r="2619" spans="1:2" x14ac:dyDescent="0.2">
      <c r="A2619">
        <v>-8019.1443278317456</v>
      </c>
      <c r="B2619">
        <v>2525.2177540493431</v>
      </c>
    </row>
    <row r="2620" spans="1:2" x14ac:dyDescent="0.2">
      <c r="A2620">
        <v>5991.3444730620831</v>
      </c>
      <c r="B2620">
        <v>2527.6316598610138</v>
      </c>
    </row>
    <row r="2621" spans="1:2" x14ac:dyDescent="0.2">
      <c r="A2621">
        <v>-5507.1619200767309</v>
      </c>
      <c r="B2621">
        <v>2530.9672193213773</v>
      </c>
    </row>
    <row r="2622" spans="1:2" x14ac:dyDescent="0.2">
      <c r="A2622">
        <v>4537.3402584384312</v>
      </c>
      <c r="B2622">
        <v>2536.2110359794169</v>
      </c>
    </row>
    <row r="2623" spans="1:2" x14ac:dyDescent="0.2">
      <c r="A2623">
        <v>16046.877545293013</v>
      </c>
      <c r="B2623">
        <v>2536.7606084954168</v>
      </c>
    </row>
    <row r="2624" spans="1:2" x14ac:dyDescent="0.2">
      <c r="A2624">
        <v>-1130.5092463274777</v>
      </c>
      <c r="B2624">
        <v>2538.2397002769867</v>
      </c>
    </row>
    <row r="2625" spans="1:2" x14ac:dyDescent="0.2">
      <c r="A2625">
        <v>3009.4702144167968</v>
      </c>
      <c r="B2625">
        <v>2540.6878711381578</v>
      </c>
    </row>
    <row r="2626" spans="1:2" x14ac:dyDescent="0.2">
      <c r="A2626">
        <v>18477.010154250573</v>
      </c>
      <c r="B2626">
        <v>2543.1886571269133</v>
      </c>
    </row>
    <row r="2627" spans="1:2" x14ac:dyDescent="0.2">
      <c r="A2627">
        <v>-190.33923359960318</v>
      </c>
      <c r="B2627">
        <v>2549.5696839434677</v>
      </c>
    </row>
    <row r="2628" spans="1:2" x14ac:dyDescent="0.2">
      <c r="A2628">
        <v>4629.7574526098324</v>
      </c>
      <c r="B2628">
        <v>2561.786141430086</v>
      </c>
    </row>
    <row r="2629" spans="1:2" x14ac:dyDescent="0.2">
      <c r="A2629">
        <v>959.0594492185046</v>
      </c>
      <c r="B2629">
        <v>2569.9710233012156</v>
      </c>
    </row>
    <row r="2630" spans="1:2" x14ac:dyDescent="0.2">
      <c r="A2630">
        <v>-6782.3269714422058</v>
      </c>
      <c r="B2630">
        <v>2577.7652944466681</v>
      </c>
    </row>
    <row r="2631" spans="1:2" x14ac:dyDescent="0.2">
      <c r="A2631">
        <v>12984.061584833078</v>
      </c>
      <c r="B2631">
        <v>2579.1616525751597</v>
      </c>
    </row>
    <row r="2632" spans="1:2" x14ac:dyDescent="0.2">
      <c r="A2632">
        <v>-8739.6141500656377</v>
      </c>
      <c r="B2632">
        <v>2581.003793279815</v>
      </c>
    </row>
    <row r="2633" spans="1:2" x14ac:dyDescent="0.2">
      <c r="A2633">
        <v>-16203.718720173056</v>
      </c>
      <c r="B2633">
        <v>2590.8090207529021</v>
      </c>
    </row>
    <row r="2634" spans="1:2" x14ac:dyDescent="0.2">
      <c r="A2634">
        <v>484.92313146102242</v>
      </c>
      <c r="B2634">
        <v>2595.4542820790084</v>
      </c>
    </row>
    <row r="2635" spans="1:2" x14ac:dyDescent="0.2">
      <c r="A2635">
        <v>16291.749656875909</v>
      </c>
      <c r="B2635">
        <v>2596.7462923076528</v>
      </c>
    </row>
    <row r="2636" spans="1:2" x14ac:dyDescent="0.2">
      <c r="A2636">
        <v>-12493.138191648293</v>
      </c>
      <c r="B2636">
        <v>2604.0060574050876</v>
      </c>
    </row>
    <row r="2637" spans="1:2" x14ac:dyDescent="0.2">
      <c r="A2637">
        <v>133.86288594777579</v>
      </c>
      <c r="B2637">
        <v>2609.5296857509529</v>
      </c>
    </row>
    <row r="2638" spans="1:2" x14ac:dyDescent="0.2">
      <c r="A2638">
        <v>9673.7042077160149</v>
      </c>
      <c r="B2638">
        <v>2613.1589141324512</v>
      </c>
    </row>
    <row r="2639" spans="1:2" x14ac:dyDescent="0.2">
      <c r="A2639">
        <v>18859.025111442257</v>
      </c>
      <c r="B2639">
        <v>2620.866015633801</v>
      </c>
    </row>
    <row r="2640" spans="1:2" x14ac:dyDescent="0.2">
      <c r="A2640">
        <v>4220.5637359249231</v>
      </c>
      <c r="B2640">
        <v>2623.5365406800702</v>
      </c>
    </row>
    <row r="2641" spans="1:2" x14ac:dyDescent="0.2">
      <c r="A2641">
        <v>-1096.1395755851263</v>
      </c>
      <c r="B2641">
        <v>2629.8268448877498</v>
      </c>
    </row>
    <row r="2642" spans="1:2" x14ac:dyDescent="0.2">
      <c r="A2642">
        <v>6288.2780262006563</v>
      </c>
      <c r="B2642">
        <v>2630.9677348827827</v>
      </c>
    </row>
    <row r="2643" spans="1:2" x14ac:dyDescent="0.2">
      <c r="A2643">
        <v>220.45919933175901</v>
      </c>
      <c r="B2643">
        <v>2631.4478468771267</v>
      </c>
    </row>
    <row r="2644" spans="1:2" x14ac:dyDescent="0.2">
      <c r="A2644">
        <v>-11834.25013079698</v>
      </c>
      <c r="B2644">
        <v>2640.9989681168227</v>
      </c>
    </row>
    <row r="2645" spans="1:2" x14ac:dyDescent="0.2">
      <c r="A2645">
        <v>-11464.585495428182</v>
      </c>
      <c r="B2645">
        <v>2646.6197491686908</v>
      </c>
    </row>
    <row r="2646" spans="1:2" x14ac:dyDescent="0.2">
      <c r="A2646">
        <v>-3342.112038973195</v>
      </c>
      <c r="B2646">
        <v>2650.812990806473</v>
      </c>
    </row>
    <row r="2647" spans="1:2" x14ac:dyDescent="0.2">
      <c r="A2647">
        <v>-2084.7891778669145</v>
      </c>
      <c r="B2647">
        <v>2650.986277091899</v>
      </c>
    </row>
    <row r="2648" spans="1:2" x14ac:dyDescent="0.2">
      <c r="A2648">
        <v>1359.4467085866199</v>
      </c>
      <c r="B2648">
        <v>2653.404292094172</v>
      </c>
    </row>
    <row r="2649" spans="1:2" x14ac:dyDescent="0.2">
      <c r="A2649">
        <v>4936.5998652781273</v>
      </c>
      <c r="B2649">
        <v>2660.7725849343406</v>
      </c>
    </row>
    <row r="2650" spans="1:2" x14ac:dyDescent="0.2">
      <c r="A2650">
        <v>-2051.2716552964994</v>
      </c>
      <c r="B2650">
        <v>2667.5171351212775</v>
      </c>
    </row>
    <row r="2651" spans="1:2" x14ac:dyDescent="0.2">
      <c r="A2651">
        <v>-3072.1321249692992</v>
      </c>
      <c r="B2651">
        <v>2679.7485174758476</v>
      </c>
    </row>
    <row r="2652" spans="1:2" x14ac:dyDescent="0.2">
      <c r="A2652">
        <v>-2947.2301142442739</v>
      </c>
      <c r="B2652">
        <v>2682.5012369119795</v>
      </c>
    </row>
    <row r="2653" spans="1:2" x14ac:dyDescent="0.2">
      <c r="A2653">
        <v>-10531.711647628748</v>
      </c>
      <c r="B2653">
        <v>2685.4536713245616</v>
      </c>
    </row>
    <row r="2654" spans="1:2" x14ac:dyDescent="0.2">
      <c r="A2654">
        <v>1533.4085123937984</v>
      </c>
      <c r="B2654">
        <v>2690.7364485799335</v>
      </c>
    </row>
    <row r="2655" spans="1:2" x14ac:dyDescent="0.2">
      <c r="A2655">
        <v>-1330.0573203076492</v>
      </c>
      <c r="B2655">
        <v>2691.1874510070775</v>
      </c>
    </row>
    <row r="2656" spans="1:2" x14ac:dyDescent="0.2">
      <c r="A2656">
        <v>19275.175292201922</v>
      </c>
      <c r="B2656">
        <v>2691.9760440041136</v>
      </c>
    </row>
    <row r="2657" spans="1:2" x14ac:dyDescent="0.2">
      <c r="A2657">
        <v>-3413.211987073184</v>
      </c>
      <c r="B2657">
        <v>2707.4867845838598</v>
      </c>
    </row>
    <row r="2658" spans="1:2" x14ac:dyDescent="0.2">
      <c r="A2658">
        <v>11953.009030810208</v>
      </c>
      <c r="B2658">
        <v>2719.9824346728565</v>
      </c>
    </row>
    <row r="2659" spans="1:2" x14ac:dyDescent="0.2">
      <c r="A2659">
        <v>-846.96074760131887</v>
      </c>
      <c r="B2659">
        <v>2734.8962319510174</v>
      </c>
    </row>
    <row r="2660" spans="1:2" x14ac:dyDescent="0.2">
      <c r="A2660">
        <v>20404.903425954923</v>
      </c>
      <c r="B2660">
        <v>2737.2334640832269</v>
      </c>
    </row>
    <row r="2661" spans="1:2" x14ac:dyDescent="0.2">
      <c r="A2661">
        <v>18510.053733965731</v>
      </c>
      <c r="B2661">
        <v>2741.5840007363004</v>
      </c>
    </row>
    <row r="2662" spans="1:2" x14ac:dyDescent="0.2">
      <c r="A2662">
        <v>-4227.628647193138</v>
      </c>
      <c r="B2662">
        <v>2742.434818702226</v>
      </c>
    </row>
    <row r="2663" spans="1:2" x14ac:dyDescent="0.2">
      <c r="A2663">
        <v>13416.563485461927</v>
      </c>
      <c r="B2663">
        <v>2742.7950953945983</v>
      </c>
    </row>
    <row r="2664" spans="1:2" x14ac:dyDescent="0.2">
      <c r="A2664">
        <v>1663.1091353258234</v>
      </c>
      <c r="B2664">
        <v>2743.7248301917571</v>
      </c>
    </row>
    <row r="2665" spans="1:2" x14ac:dyDescent="0.2">
      <c r="A2665">
        <v>-198.21335873458884</v>
      </c>
      <c r="B2665">
        <v>2750.2325738678628</v>
      </c>
    </row>
    <row r="2666" spans="1:2" x14ac:dyDescent="0.2">
      <c r="A2666">
        <v>1957.0936971341725</v>
      </c>
      <c r="B2666">
        <v>2755.6402821142692</v>
      </c>
    </row>
    <row r="2667" spans="1:2" x14ac:dyDescent="0.2">
      <c r="A2667">
        <v>-5770.598247128306</v>
      </c>
      <c r="B2667">
        <v>2764.2313598255569</v>
      </c>
    </row>
    <row r="2668" spans="1:2" x14ac:dyDescent="0.2">
      <c r="A2668">
        <v>5214.6164074867265</v>
      </c>
      <c r="B2668">
        <v>2771.172855522309</v>
      </c>
    </row>
    <row r="2669" spans="1:2" x14ac:dyDescent="0.2">
      <c r="A2669">
        <v>7463.607217097946</v>
      </c>
      <c r="B2669">
        <v>2773.4270254308358</v>
      </c>
    </row>
    <row r="2670" spans="1:2" x14ac:dyDescent="0.2">
      <c r="A2670">
        <v>3032.5355370226898</v>
      </c>
      <c r="B2670">
        <v>2776.861794045486</v>
      </c>
    </row>
    <row r="2671" spans="1:2" x14ac:dyDescent="0.2">
      <c r="A2671">
        <v>14784.526821961452</v>
      </c>
      <c r="B2671">
        <v>2777.5961978199775</v>
      </c>
    </row>
    <row r="2672" spans="1:2" x14ac:dyDescent="0.2">
      <c r="A2672">
        <v>-2455.7168949777842</v>
      </c>
      <c r="B2672">
        <v>2778.4524216735444</v>
      </c>
    </row>
    <row r="2673" spans="1:2" x14ac:dyDescent="0.2">
      <c r="A2673">
        <v>13420.736355917121</v>
      </c>
      <c r="B2673">
        <v>2783.0169088739203</v>
      </c>
    </row>
    <row r="2674" spans="1:2" x14ac:dyDescent="0.2">
      <c r="A2674">
        <v>5198.2713021833333</v>
      </c>
      <c r="B2674">
        <v>2786.2472372232151</v>
      </c>
    </row>
    <row r="2675" spans="1:2" x14ac:dyDescent="0.2">
      <c r="A2675">
        <v>-6534.3090604838217</v>
      </c>
      <c r="B2675">
        <v>2788.3980016353016</v>
      </c>
    </row>
    <row r="2676" spans="1:2" x14ac:dyDescent="0.2">
      <c r="A2676">
        <v>-8466.9964677676326</v>
      </c>
      <c r="B2676">
        <v>2790.0261357267736</v>
      </c>
    </row>
    <row r="2677" spans="1:2" x14ac:dyDescent="0.2">
      <c r="A2677">
        <v>28028.591147369356</v>
      </c>
      <c r="B2677">
        <v>2802.143386284326</v>
      </c>
    </row>
    <row r="2678" spans="1:2" x14ac:dyDescent="0.2">
      <c r="A2678">
        <v>-4334.7954648372834</v>
      </c>
      <c r="B2678">
        <v>2805.1183943244396</v>
      </c>
    </row>
    <row r="2679" spans="1:2" x14ac:dyDescent="0.2">
      <c r="A2679">
        <v>398.33629352628486</v>
      </c>
      <c r="B2679">
        <v>2806.6950426036492</v>
      </c>
    </row>
    <row r="2680" spans="1:2" x14ac:dyDescent="0.2">
      <c r="A2680">
        <v>12379.922910148336</v>
      </c>
      <c r="B2680">
        <v>2808.2624575099617</v>
      </c>
    </row>
    <row r="2681" spans="1:2" x14ac:dyDescent="0.2">
      <c r="A2681">
        <v>-199.7110296189785</v>
      </c>
      <c r="B2681">
        <v>2810.5176462875097</v>
      </c>
    </row>
    <row r="2682" spans="1:2" x14ac:dyDescent="0.2">
      <c r="A2682">
        <v>16602.761194350751</v>
      </c>
      <c r="B2682">
        <v>2813.6874825345003</v>
      </c>
    </row>
    <row r="2683" spans="1:2" x14ac:dyDescent="0.2">
      <c r="A2683">
        <v>-2465.5074586030096</v>
      </c>
      <c r="B2683">
        <v>2817.4931321338809</v>
      </c>
    </row>
    <row r="2684" spans="1:2" x14ac:dyDescent="0.2">
      <c r="A2684">
        <v>1073.6154740969941</v>
      </c>
      <c r="B2684">
        <v>2818.1871887728048</v>
      </c>
    </row>
    <row r="2685" spans="1:2" x14ac:dyDescent="0.2">
      <c r="A2685">
        <v>-10025.44233453396</v>
      </c>
      <c r="B2685">
        <v>2821.5405373988033</v>
      </c>
    </row>
    <row r="2686" spans="1:2" x14ac:dyDescent="0.2">
      <c r="A2686">
        <v>5015.6088741711574</v>
      </c>
      <c r="B2686">
        <v>2831.8105609423656</v>
      </c>
    </row>
    <row r="2687" spans="1:2" x14ac:dyDescent="0.2">
      <c r="A2687">
        <v>11801.020989699929</v>
      </c>
      <c r="B2687">
        <v>2841.5050707097398</v>
      </c>
    </row>
    <row r="2688" spans="1:2" x14ac:dyDescent="0.2">
      <c r="A2688">
        <v>-8093.6036906891386</v>
      </c>
      <c r="B2688">
        <v>2842.0558899758616</v>
      </c>
    </row>
    <row r="2689" spans="1:2" x14ac:dyDescent="0.2">
      <c r="A2689">
        <v>-7430.1492353595386</v>
      </c>
      <c r="B2689">
        <v>2846.7055503314477</v>
      </c>
    </row>
    <row r="2690" spans="1:2" x14ac:dyDescent="0.2">
      <c r="A2690">
        <v>-10399.685621598153</v>
      </c>
      <c r="B2690">
        <v>2849.9372649741999</v>
      </c>
    </row>
    <row r="2691" spans="1:2" x14ac:dyDescent="0.2">
      <c r="A2691">
        <v>13182.871755965345</v>
      </c>
      <c r="B2691">
        <v>2850.6288695190451</v>
      </c>
    </row>
    <row r="2692" spans="1:2" x14ac:dyDescent="0.2">
      <c r="A2692">
        <v>21977.458972671331</v>
      </c>
      <c r="B2692">
        <v>2867.8272363630822</v>
      </c>
    </row>
    <row r="2693" spans="1:2" x14ac:dyDescent="0.2">
      <c r="A2693">
        <v>-12170.241210638487</v>
      </c>
      <c r="B2693">
        <v>2868.9935187774245</v>
      </c>
    </row>
    <row r="2694" spans="1:2" x14ac:dyDescent="0.2">
      <c r="A2694">
        <v>-18505.144324600871</v>
      </c>
      <c r="B2694">
        <v>2899.1868099797866</v>
      </c>
    </row>
    <row r="2695" spans="1:2" x14ac:dyDescent="0.2">
      <c r="A2695">
        <v>-4720.9250845823844</v>
      </c>
      <c r="B2695">
        <v>2902.2903082816629</v>
      </c>
    </row>
    <row r="2696" spans="1:2" x14ac:dyDescent="0.2">
      <c r="A2696">
        <v>10881.1863762188</v>
      </c>
      <c r="B2696">
        <v>2905.2468490846222</v>
      </c>
    </row>
    <row r="2697" spans="1:2" x14ac:dyDescent="0.2">
      <c r="A2697">
        <v>-7356.0140211686376</v>
      </c>
      <c r="B2697">
        <v>2907.2396361433784</v>
      </c>
    </row>
    <row r="2698" spans="1:2" x14ac:dyDescent="0.2">
      <c r="A2698">
        <v>-2010.7604253213794</v>
      </c>
      <c r="B2698">
        <v>2909.3572033998207</v>
      </c>
    </row>
    <row r="2699" spans="1:2" x14ac:dyDescent="0.2">
      <c r="A2699">
        <v>-2864.6095530271414</v>
      </c>
      <c r="B2699">
        <v>2910.7646753660229</v>
      </c>
    </row>
    <row r="2700" spans="1:2" x14ac:dyDescent="0.2">
      <c r="A2700">
        <v>4143.4906399394094</v>
      </c>
      <c r="B2700">
        <v>2915.2056664551201</v>
      </c>
    </row>
    <row r="2701" spans="1:2" x14ac:dyDescent="0.2">
      <c r="A2701">
        <v>11747.055861087632</v>
      </c>
      <c r="B2701">
        <v>2917.6405198483262</v>
      </c>
    </row>
    <row r="2702" spans="1:2" x14ac:dyDescent="0.2">
      <c r="A2702">
        <v>-10222.191068455722</v>
      </c>
      <c r="B2702">
        <v>2919.5126284331782</v>
      </c>
    </row>
    <row r="2703" spans="1:2" x14ac:dyDescent="0.2">
      <c r="A2703">
        <v>21252.022735973238</v>
      </c>
      <c r="B2703">
        <v>2925.0604701129196</v>
      </c>
    </row>
    <row r="2704" spans="1:2" x14ac:dyDescent="0.2">
      <c r="A2704">
        <v>4678.5905126432481</v>
      </c>
      <c r="B2704">
        <v>2934.8257303467835</v>
      </c>
    </row>
    <row r="2705" spans="1:2" x14ac:dyDescent="0.2">
      <c r="A2705">
        <v>2313.9984112216334</v>
      </c>
      <c r="B2705">
        <v>2935.3267805634532</v>
      </c>
    </row>
    <row r="2706" spans="1:2" x14ac:dyDescent="0.2">
      <c r="A2706">
        <v>-21184.394519309804</v>
      </c>
      <c r="B2706">
        <v>2936.4531942992471</v>
      </c>
    </row>
    <row r="2707" spans="1:2" x14ac:dyDescent="0.2">
      <c r="A2707">
        <v>1062.4345232843189</v>
      </c>
      <c r="B2707">
        <v>2944.0847570765181</v>
      </c>
    </row>
    <row r="2708" spans="1:2" x14ac:dyDescent="0.2">
      <c r="A2708">
        <v>2469.9284337720019</v>
      </c>
      <c r="B2708">
        <v>2947.0758636909886</v>
      </c>
    </row>
    <row r="2709" spans="1:2" x14ac:dyDescent="0.2">
      <c r="A2709">
        <v>15093.770380739239</v>
      </c>
      <c r="B2709">
        <v>2955.6336993493605</v>
      </c>
    </row>
    <row r="2710" spans="1:2" x14ac:dyDescent="0.2">
      <c r="A2710">
        <v>-1365.8315159073099</v>
      </c>
      <c r="B2710">
        <v>2956.0919874503161</v>
      </c>
    </row>
    <row r="2711" spans="1:2" x14ac:dyDescent="0.2">
      <c r="A2711">
        <v>7360.607902258751</v>
      </c>
      <c r="B2711">
        <v>2958.4115212347242</v>
      </c>
    </row>
    <row r="2712" spans="1:2" x14ac:dyDescent="0.2">
      <c r="A2712">
        <v>8939.5181228975707</v>
      </c>
      <c r="B2712">
        <v>2959.6783878231363</v>
      </c>
    </row>
    <row r="2713" spans="1:2" x14ac:dyDescent="0.2">
      <c r="A2713">
        <v>3812.4619588502683</v>
      </c>
      <c r="B2713">
        <v>2966.0178229402518</v>
      </c>
    </row>
    <row r="2714" spans="1:2" x14ac:dyDescent="0.2">
      <c r="A2714">
        <v>10332.673558725743</v>
      </c>
      <c r="B2714">
        <v>2974.8942991232325</v>
      </c>
    </row>
    <row r="2715" spans="1:2" x14ac:dyDescent="0.2">
      <c r="A2715">
        <v>-1505.6371268189396</v>
      </c>
      <c r="B2715">
        <v>2976.7407323822554</v>
      </c>
    </row>
    <row r="2716" spans="1:2" x14ac:dyDescent="0.2">
      <c r="A2716">
        <v>-5470.4873037869402</v>
      </c>
      <c r="B2716">
        <v>2987.0518402745365</v>
      </c>
    </row>
    <row r="2717" spans="1:2" x14ac:dyDescent="0.2">
      <c r="A2717">
        <v>20537.89557003435</v>
      </c>
      <c r="B2717">
        <v>2987.6427755689365</v>
      </c>
    </row>
    <row r="2718" spans="1:2" x14ac:dyDescent="0.2">
      <c r="A2718">
        <v>1394.5270551523718</v>
      </c>
      <c r="B2718">
        <v>2991.0836716184858</v>
      </c>
    </row>
    <row r="2719" spans="1:2" x14ac:dyDescent="0.2">
      <c r="A2719">
        <v>10985.029926897667</v>
      </c>
      <c r="B2719">
        <v>3002.0801833336009</v>
      </c>
    </row>
    <row r="2720" spans="1:2" x14ac:dyDescent="0.2">
      <c r="A2720">
        <v>-13405.490158218716</v>
      </c>
      <c r="B2720">
        <v>3005.2947720136144</v>
      </c>
    </row>
    <row r="2721" spans="1:2" x14ac:dyDescent="0.2">
      <c r="A2721">
        <v>-7210.983344226348</v>
      </c>
      <c r="B2721">
        <v>3009.4702144167968</v>
      </c>
    </row>
    <row r="2722" spans="1:2" x14ac:dyDescent="0.2">
      <c r="A2722">
        <v>26593.214173467975</v>
      </c>
      <c r="B2722">
        <v>3012.061826899444</v>
      </c>
    </row>
    <row r="2723" spans="1:2" x14ac:dyDescent="0.2">
      <c r="A2723">
        <v>-1736.859187267255</v>
      </c>
      <c r="B2723">
        <v>3018.4840439463733</v>
      </c>
    </row>
    <row r="2724" spans="1:2" x14ac:dyDescent="0.2">
      <c r="A2724">
        <v>-7216.3742132294574</v>
      </c>
      <c r="B2724">
        <v>3019.4024298573495</v>
      </c>
    </row>
    <row r="2725" spans="1:2" x14ac:dyDescent="0.2">
      <c r="A2725">
        <v>1679.546905135503</v>
      </c>
      <c r="B2725">
        <v>3022.4006970943883</v>
      </c>
    </row>
    <row r="2726" spans="1:2" x14ac:dyDescent="0.2">
      <c r="A2726">
        <v>-5965.5360207289195</v>
      </c>
      <c r="B2726">
        <v>3032.5355370226898</v>
      </c>
    </row>
    <row r="2727" spans="1:2" x14ac:dyDescent="0.2">
      <c r="A2727">
        <v>7086.7497540554905</v>
      </c>
      <c r="B2727">
        <v>3033.0339699333417</v>
      </c>
    </row>
    <row r="2728" spans="1:2" x14ac:dyDescent="0.2">
      <c r="A2728">
        <v>1294.8915295549959</v>
      </c>
      <c r="B2728">
        <v>3036.0654898566718</v>
      </c>
    </row>
    <row r="2729" spans="1:2" x14ac:dyDescent="0.2">
      <c r="A2729">
        <v>-1975.8193870974937</v>
      </c>
      <c r="B2729">
        <v>3039.2815358650405</v>
      </c>
    </row>
    <row r="2730" spans="1:2" x14ac:dyDescent="0.2">
      <c r="A2730">
        <v>-9404.1849064208654</v>
      </c>
      <c r="B2730">
        <v>3040.3847342036315</v>
      </c>
    </row>
    <row r="2731" spans="1:2" x14ac:dyDescent="0.2">
      <c r="A2731">
        <v>-4230.4365733281593</v>
      </c>
      <c r="B2731">
        <v>3040.6876083899406</v>
      </c>
    </row>
    <row r="2732" spans="1:2" x14ac:dyDescent="0.2">
      <c r="A2732">
        <v>-385.96632128334022</v>
      </c>
      <c r="B2732">
        <v>3045.9086938348482</v>
      </c>
    </row>
    <row r="2733" spans="1:2" x14ac:dyDescent="0.2">
      <c r="A2733">
        <v>7536.290518959504</v>
      </c>
      <c r="B2733">
        <v>3050.2983744452649</v>
      </c>
    </row>
    <row r="2734" spans="1:2" x14ac:dyDescent="0.2">
      <c r="A2734">
        <v>-1005.3987821436021</v>
      </c>
      <c r="B2734">
        <v>3060.3129127139691</v>
      </c>
    </row>
    <row r="2735" spans="1:2" x14ac:dyDescent="0.2">
      <c r="A2735">
        <v>-11537.028339753568</v>
      </c>
      <c r="B2735">
        <v>3061.1697515395354</v>
      </c>
    </row>
    <row r="2736" spans="1:2" x14ac:dyDescent="0.2">
      <c r="A2736">
        <v>-714.34536644408945</v>
      </c>
      <c r="B2736">
        <v>3061.1698066807876</v>
      </c>
    </row>
    <row r="2737" spans="1:2" x14ac:dyDescent="0.2">
      <c r="A2737">
        <v>10794.231486261298</v>
      </c>
      <c r="B2737">
        <v>3062.4940076024213</v>
      </c>
    </row>
    <row r="2738" spans="1:2" x14ac:dyDescent="0.2">
      <c r="A2738">
        <v>9438.6828033820202</v>
      </c>
      <c r="B2738">
        <v>3065.9160025265883</v>
      </c>
    </row>
    <row r="2739" spans="1:2" x14ac:dyDescent="0.2">
      <c r="A2739">
        <v>7780.176219876972</v>
      </c>
      <c r="B2739">
        <v>3068.3939710041741</v>
      </c>
    </row>
    <row r="2740" spans="1:2" x14ac:dyDescent="0.2">
      <c r="A2740">
        <v>6266.9292862862058</v>
      </c>
      <c r="B2740">
        <v>3083.3130852848699</v>
      </c>
    </row>
    <row r="2741" spans="1:2" x14ac:dyDescent="0.2">
      <c r="A2741">
        <v>4141.2771328444942</v>
      </c>
      <c r="B2741">
        <v>3085.7932606079266</v>
      </c>
    </row>
    <row r="2742" spans="1:2" x14ac:dyDescent="0.2">
      <c r="A2742">
        <v>10818.455378804734</v>
      </c>
      <c r="B2742">
        <v>3086.4837681197678</v>
      </c>
    </row>
    <row r="2743" spans="1:2" x14ac:dyDescent="0.2">
      <c r="A2743">
        <v>-12221.920586083696</v>
      </c>
      <c r="B2743">
        <v>3087.8767979472759</v>
      </c>
    </row>
    <row r="2744" spans="1:2" x14ac:dyDescent="0.2">
      <c r="A2744">
        <v>3921.6192526715167</v>
      </c>
      <c r="B2744">
        <v>3093.1637557947543</v>
      </c>
    </row>
    <row r="2745" spans="1:2" x14ac:dyDescent="0.2">
      <c r="A2745">
        <v>13559.294265309611</v>
      </c>
      <c r="B2745">
        <v>3094.2611996290216</v>
      </c>
    </row>
    <row r="2746" spans="1:2" x14ac:dyDescent="0.2">
      <c r="A2746">
        <v>904.90112366137328</v>
      </c>
      <c r="B2746">
        <v>3102.1950946554716</v>
      </c>
    </row>
    <row r="2747" spans="1:2" x14ac:dyDescent="0.2">
      <c r="A2747">
        <v>2092.4434953756572</v>
      </c>
      <c r="B2747">
        <v>3103.2759230668889</v>
      </c>
    </row>
    <row r="2748" spans="1:2" x14ac:dyDescent="0.2">
      <c r="A2748">
        <v>8597.5239024204784</v>
      </c>
      <c r="B2748">
        <v>3104.665557881759</v>
      </c>
    </row>
    <row r="2749" spans="1:2" x14ac:dyDescent="0.2">
      <c r="A2749">
        <v>-1979.8910705334565</v>
      </c>
      <c r="B2749">
        <v>3112.590054659755</v>
      </c>
    </row>
    <row r="2750" spans="1:2" x14ac:dyDescent="0.2">
      <c r="A2750">
        <v>-4494.7633513648179</v>
      </c>
      <c r="B2750">
        <v>3113.7528874381678</v>
      </c>
    </row>
    <row r="2751" spans="1:2" x14ac:dyDescent="0.2">
      <c r="A2751">
        <v>8524.2341679200472</v>
      </c>
      <c r="B2751">
        <v>3115.7764089167467</v>
      </c>
    </row>
    <row r="2752" spans="1:2" x14ac:dyDescent="0.2">
      <c r="A2752">
        <v>1217.6852710738895</v>
      </c>
      <c r="B2752">
        <v>3119.1620964558388</v>
      </c>
    </row>
    <row r="2753" spans="1:2" x14ac:dyDescent="0.2">
      <c r="A2753">
        <v>-3561.6702746162191</v>
      </c>
      <c r="B2753">
        <v>3119.4818133105582</v>
      </c>
    </row>
    <row r="2754" spans="1:2" x14ac:dyDescent="0.2">
      <c r="A2754">
        <v>19659.069182291976</v>
      </c>
      <c r="B2754">
        <v>3121.8795613657567</v>
      </c>
    </row>
    <row r="2755" spans="1:2" x14ac:dyDescent="0.2">
      <c r="A2755">
        <v>-2752.5566804156115</v>
      </c>
      <c r="B2755">
        <v>3139.8402974092169</v>
      </c>
    </row>
    <row r="2756" spans="1:2" x14ac:dyDescent="0.2">
      <c r="A2756">
        <v>2039.0494261025451</v>
      </c>
      <c r="B2756">
        <v>3144.388440094277</v>
      </c>
    </row>
    <row r="2757" spans="1:2" x14ac:dyDescent="0.2">
      <c r="A2757">
        <v>16442.655020084261</v>
      </c>
      <c r="B2757">
        <v>3157.3599834173801</v>
      </c>
    </row>
    <row r="2758" spans="1:2" x14ac:dyDescent="0.2">
      <c r="A2758">
        <v>8585.2707953643112</v>
      </c>
      <c r="B2758">
        <v>3158.4753600413678</v>
      </c>
    </row>
    <row r="2759" spans="1:2" x14ac:dyDescent="0.2">
      <c r="A2759">
        <v>2020.9429803846288</v>
      </c>
      <c r="B2759">
        <v>3159.0679107434698</v>
      </c>
    </row>
    <row r="2760" spans="1:2" x14ac:dyDescent="0.2">
      <c r="A2760">
        <v>-12131.414052417444</v>
      </c>
      <c r="B2760">
        <v>3165.0814531071228</v>
      </c>
    </row>
    <row r="2761" spans="1:2" x14ac:dyDescent="0.2">
      <c r="A2761">
        <v>1715.1288426065294</v>
      </c>
      <c r="B2761">
        <v>3168.6730632794206</v>
      </c>
    </row>
    <row r="2762" spans="1:2" x14ac:dyDescent="0.2">
      <c r="A2762">
        <v>-6035.1243588197976</v>
      </c>
      <c r="B2762">
        <v>3170.1511362669407</v>
      </c>
    </row>
    <row r="2763" spans="1:2" x14ac:dyDescent="0.2">
      <c r="A2763">
        <v>16468.945753878506</v>
      </c>
      <c r="B2763">
        <v>3173.7872871986765</v>
      </c>
    </row>
    <row r="2764" spans="1:2" x14ac:dyDescent="0.2">
      <c r="A2764">
        <v>1579.9739372092299</v>
      </c>
      <c r="B2764">
        <v>3176.5115302864579</v>
      </c>
    </row>
    <row r="2765" spans="1:2" x14ac:dyDescent="0.2">
      <c r="A2765">
        <v>10871.634793936741</v>
      </c>
      <c r="B2765">
        <v>3183.7023508230341</v>
      </c>
    </row>
    <row r="2766" spans="1:2" x14ac:dyDescent="0.2">
      <c r="A2766">
        <v>4047.3983132209978</v>
      </c>
      <c r="B2766">
        <v>3196.4815042082919</v>
      </c>
    </row>
    <row r="2767" spans="1:2" x14ac:dyDescent="0.2">
      <c r="A2767">
        <v>4947.6992673021741</v>
      </c>
      <c r="B2767">
        <v>3199.7834389947529</v>
      </c>
    </row>
    <row r="2768" spans="1:2" x14ac:dyDescent="0.2">
      <c r="A2768">
        <v>8547.6067819103482</v>
      </c>
      <c r="B2768">
        <v>3204.1718067403708</v>
      </c>
    </row>
    <row r="2769" spans="1:2" x14ac:dyDescent="0.2">
      <c r="A2769">
        <v>-8138.3499417821295</v>
      </c>
      <c r="B2769">
        <v>3211.1728787148895</v>
      </c>
    </row>
    <row r="2770" spans="1:2" x14ac:dyDescent="0.2">
      <c r="A2770">
        <v>875.26102217799053</v>
      </c>
      <c r="B2770">
        <v>3215.5542882172449</v>
      </c>
    </row>
    <row r="2771" spans="1:2" x14ac:dyDescent="0.2">
      <c r="A2771">
        <v>1059.81819516822</v>
      </c>
      <c r="B2771">
        <v>3217.0918989248748</v>
      </c>
    </row>
    <row r="2772" spans="1:2" x14ac:dyDescent="0.2">
      <c r="A2772">
        <v>10687.808116269211</v>
      </c>
      <c r="B2772">
        <v>3218.0999306403683</v>
      </c>
    </row>
    <row r="2773" spans="1:2" x14ac:dyDescent="0.2">
      <c r="A2773">
        <v>-26194.672939800599</v>
      </c>
      <c r="B2773">
        <v>3240.7571472147247</v>
      </c>
    </row>
    <row r="2774" spans="1:2" x14ac:dyDescent="0.2">
      <c r="A2774">
        <v>13389.239042614703</v>
      </c>
      <c r="B2774">
        <v>3243.5417792473454</v>
      </c>
    </row>
    <row r="2775" spans="1:2" x14ac:dyDescent="0.2">
      <c r="A2775">
        <v>-9825.9593830216909</v>
      </c>
      <c r="B2775">
        <v>3243.7518555446877</v>
      </c>
    </row>
    <row r="2776" spans="1:2" x14ac:dyDescent="0.2">
      <c r="A2776">
        <v>6000.7031581964984</v>
      </c>
      <c r="B2776">
        <v>3249.4252379428945</v>
      </c>
    </row>
    <row r="2777" spans="1:2" x14ac:dyDescent="0.2">
      <c r="A2777">
        <v>-7754.2948485271772</v>
      </c>
      <c r="B2777">
        <v>3253.5680949223461</v>
      </c>
    </row>
    <row r="2778" spans="1:2" x14ac:dyDescent="0.2">
      <c r="A2778">
        <v>-8751.0108966500848</v>
      </c>
      <c r="B2778">
        <v>3259.9838631822786</v>
      </c>
    </row>
    <row r="2779" spans="1:2" x14ac:dyDescent="0.2">
      <c r="A2779">
        <v>11927.421040653571</v>
      </c>
      <c r="B2779">
        <v>3263.2864739157958</v>
      </c>
    </row>
    <row r="2780" spans="1:2" x14ac:dyDescent="0.2">
      <c r="A2780">
        <v>-11200.543343759957</v>
      </c>
      <c r="B2780">
        <v>3270.9076167969033</v>
      </c>
    </row>
    <row r="2781" spans="1:2" x14ac:dyDescent="0.2">
      <c r="A2781">
        <v>982.29363679359085</v>
      </c>
      <c r="B2781">
        <v>3280.6833452989813</v>
      </c>
    </row>
    <row r="2782" spans="1:2" x14ac:dyDescent="0.2">
      <c r="A2782">
        <v>-18494.711096502026</v>
      </c>
      <c r="B2782">
        <v>3282.547425320372</v>
      </c>
    </row>
    <row r="2783" spans="1:2" x14ac:dyDescent="0.2">
      <c r="A2783">
        <v>13817.191467910772</v>
      </c>
      <c r="B2783">
        <v>3288.8784179785289</v>
      </c>
    </row>
    <row r="2784" spans="1:2" x14ac:dyDescent="0.2">
      <c r="A2784">
        <v>7470.4956326978572</v>
      </c>
      <c r="B2784">
        <v>3288.9932118330617</v>
      </c>
    </row>
    <row r="2785" spans="1:2" x14ac:dyDescent="0.2">
      <c r="A2785">
        <v>2596.7462923076528</v>
      </c>
      <c r="B2785">
        <v>3292.6423559828545</v>
      </c>
    </row>
    <row r="2786" spans="1:2" x14ac:dyDescent="0.2">
      <c r="A2786">
        <v>-2913.0942292816471</v>
      </c>
      <c r="B2786">
        <v>3292.9106969154964</v>
      </c>
    </row>
    <row r="2787" spans="1:2" x14ac:dyDescent="0.2">
      <c r="A2787">
        <v>3932.636610251473</v>
      </c>
      <c r="B2787">
        <v>3296.3504248168028</v>
      </c>
    </row>
    <row r="2788" spans="1:2" x14ac:dyDescent="0.2">
      <c r="A2788">
        <v>-2841.2994852708653</v>
      </c>
      <c r="B2788">
        <v>3298.968602870038</v>
      </c>
    </row>
    <row r="2789" spans="1:2" x14ac:dyDescent="0.2">
      <c r="A2789">
        <v>-4624.2891261640762</v>
      </c>
      <c r="B2789">
        <v>3301.2553635581571</v>
      </c>
    </row>
    <row r="2790" spans="1:2" x14ac:dyDescent="0.2">
      <c r="A2790">
        <v>-16075.440908311226</v>
      </c>
      <c r="B2790">
        <v>3320.0112470167223</v>
      </c>
    </row>
    <row r="2791" spans="1:2" x14ac:dyDescent="0.2">
      <c r="A2791">
        <v>1118.6076498652692</v>
      </c>
      <c r="B2791">
        <v>3323.430702731479</v>
      </c>
    </row>
    <row r="2792" spans="1:2" x14ac:dyDescent="0.2">
      <c r="A2792">
        <v>7158.1451047205192</v>
      </c>
      <c r="B2792">
        <v>3325.3383795388218</v>
      </c>
    </row>
    <row r="2793" spans="1:2" x14ac:dyDescent="0.2">
      <c r="A2793">
        <v>16867.714231189719</v>
      </c>
      <c r="B2793">
        <v>3329.2412350100058</v>
      </c>
    </row>
    <row r="2794" spans="1:2" x14ac:dyDescent="0.2">
      <c r="A2794">
        <v>-8678.6425471722323</v>
      </c>
      <c r="B2794">
        <v>3335.6493909696874</v>
      </c>
    </row>
    <row r="2795" spans="1:2" x14ac:dyDescent="0.2">
      <c r="A2795">
        <v>2850.6288695190451</v>
      </c>
      <c r="B2795">
        <v>3340.9790862301597</v>
      </c>
    </row>
    <row r="2796" spans="1:2" x14ac:dyDescent="0.2">
      <c r="A2796">
        <v>3787.4467101363989</v>
      </c>
      <c r="B2796">
        <v>3341.0664050689666</v>
      </c>
    </row>
    <row r="2797" spans="1:2" x14ac:dyDescent="0.2">
      <c r="A2797">
        <v>-7804.8758133756928</v>
      </c>
      <c r="B2797">
        <v>3347.7388301622123</v>
      </c>
    </row>
    <row r="2798" spans="1:2" x14ac:dyDescent="0.2">
      <c r="A2798">
        <v>228.27040665378445</v>
      </c>
      <c r="B2798">
        <v>3349.1852073336486</v>
      </c>
    </row>
    <row r="2799" spans="1:2" x14ac:dyDescent="0.2">
      <c r="A2799">
        <v>7837.0878327976097</v>
      </c>
      <c r="B2799">
        <v>3353.4150019411172</v>
      </c>
    </row>
    <row r="2800" spans="1:2" x14ac:dyDescent="0.2">
      <c r="A2800">
        <v>-6079.5536210412101</v>
      </c>
      <c r="B2800">
        <v>3359.2012729480339</v>
      </c>
    </row>
    <row r="2801" spans="1:2" x14ac:dyDescent="0.2">
      <c r="A2801">
        <v>-9344.3210776073975</v>
      </c>
      <c r="B2801">
        <v>3360.6248863609508</v>
      </c>
    </row>
    <row r="2802" spans="1:2" x14ac:dyDescent="0.2">
      <c r="A2802">
        <v>-6420.1374668458884</v>
      </c>
      <c r="B2802">
        <v>3361.0728324980591</v>
      </c>
    </row>
    <row r="2803" spans="1:2" x14ac:dyDescent="0.2">
      <c r="A2803">
        <v>11578.183552213653</v>
      </c>
      <c r="B2803">
        <v>3361.7699169109401</v>
      </c>
    </row>
    <row r="2804" spans="1:2" x14ac:dyDescent="0.2">
      <c r="A2804">
        <v>2332.0559815343004</v>
      </c>
      <c r="B2804">
        <v>3363.276494048303</v>
      </c>
    </row>
    <row r="2805" spans="1:2" x14ac:dyDescent="0.2">
      <c r="A2805">
        <v>3447.7576200822077</v>
      </c>
      <c r="B2805">
        <v>3364.9951989500551</v>
      </c>
    </row>
    <row r="2806" spans="1:2" x14ac:dyDescent="0.2">
      <c r="A2806">
        <v>-39606.088683624403</v>
      </c>
      <c r="B2806">
        <v>3367.5899908186693</v>
      </c>
    </row>
    <row r="2807" spans="1:2" x14ac:dyDescent="0.2">
      <c r="A2807">
        <v>6085.340606521524</v>
      </c>
      <c r="B2807">
        <v>3390.2097891323792</v>
      </c>
    </row>
    <row r="2808" spans="1:2" x14ac:dyDescent="0.2">
      <c r="A2808">
        <v>1154.2006128348876</v>
      </c>
      <c r="B2808">
        <v>3393.9985131784633</v>
      </c>
    </row>
    <row r="2809" spans="1:2" x14ac:dyDescent="0.2">
      <c r="A2809">
        <v>3183.7023508230341</v>
      </c>
      <c r="B2809">
        <v>3399.2256713508687</v>
      </c>
    </row>
    <row r="2810" spans="1:2" x14ac:dyDescent="0.2">
      <c r="A2810">
        <v>-2329.2264357521781</v>
      </c>
      <c r="B2810">
        <v>3399.5553167460603</v>
      </c>
    </row>
    <row r="2811" spans="1:2" x14ac:dyDescent="0.2">
      <c r="A2811">
        <v>9454.2731631161296</v>
      </c>
      <c r="B2811">
        <v>3408.9077859089302</v>
      </c>
    </row>
    <row r="2812" spans="1:2" x14ac:dyDescent="0.2">
      <c r="A2812">
        <v>-17776.123729942483</v>
      </c>
      <c r="B2812">
        <v>3423.3354498057452</v>
      </c>
    </row>
    <row r="2813" spans="1:2" x14ac:dyDescent="0.2">
      <c r="A2813">
        <v>-9497.5980326813151</v>
      </c>
      <c r="B2813">
        <v>3426.639340768801</v>
      </c>
    </row>
    <row r="2814" spans="1:2" x14ac:dyDescent="0.2">
      <c r="A2814">
        <v>-2929.9395508290618</v>
      </c>
      <c r="B2814">
        <v>3432.0773091012961</v>
      </c>
    </row>
    <row r="2815" spans="1:2" x14ac:dyDescent="0.2">
      <c r="A2815">
        <v>10239.396700089506</v>
      </c>
      <c r="B2815">
        <v>3432.3386991284206</v>
      </c>
    </row>
    <row r="2816" spans="1:2" x14ac:dyDescent="0.2">
      <c r="A2816">
        <v>9852.312514713587</v>
      </c>
      <c r="B2816">
        <v>3436.8486913654197</v>
      </c>
    </row>
    <row r="2817" spans="1:2" x14ac:dyDescent="0.2">
      <c r="A2817">
        <v>-8337.3026715998712</v>
      </c>
      <c r="B2817">
        <v>3436.9197325241694</v>
      </c>
    </row>
    <row r="2818" spans="1:2" x14ac:dyDescent="0.2">
      <c r="A2818">
        <v>-7242.3710375317605</v>
      </c>
      <c r="B2818">
        <v>3442.7325011645444</v>
      </c>
    </row>
    <row r="2819" spans="1:2" x14ac:dyDescent="0.2">
      <c r="A2819">
        <v>13438.279545844911</v>
      </c>
      <c r="B2819">
        <v>3445.4436980967585</v>
      </c>
    </row>
    <row r="2820" spans="1:2" x14ac:dyDescent="0.2">
      <c r="A2820">
        <v>-4062.4778373386944</v>
      </c>
      <c r="B2820">
        <v>3447.7576200822077</v>
      </c>
    </row>
    <row r="2821" spans="1:2" x14ac:dyDescent="0.2">
      <c r="A2821">
        <v>-7937.6435887480038</v>
      </c>
      <c r="B2821">
        <v>3453.724131796218</v>
      </c>
    </row>
    <row r="2822" spans="1:2" x14ac:dyDescent="0.2">
      <c r="A2822">
        <v>9405.8540861667716</v>
      </c>
      <c r="B2822">
        <v>3457.6747700109263</v>
      </c>
    </row>
    <row r="2823" spans="1:2" x14ac:dyDescent="0.2">
      <c r="A2823">
        <v>337.23881195162539</v>
      </c>
      <c r="B2823">
        <v>3458.3172698377166</v>
      </c>
    </row>
    <row r="2824" spans="1:2" x14ac:dyDescent="0.2">
      <c r="A2824">
        <v>-1848.2309129355126</v>
      </c>
      <c r="B2824">
        <v>3464.5932966922992</v>
      </c>
    </row>
    <row r="2825" spans="1:2" x14ac:dyDescent="0.2">
      <c r="A2825">
        <v>-6978.7892755996145</v>
      </c>
      <c r="B2825">
        <v>3466.1503311002161</v>
      </c>
    </row>
    <row r="2826" spans="1:2" x14ac:dyDescent="0.2">
      <c r="A2826">
        <v>7008.3837878398481</v>
      </c>
      <c r="B2826">
        <v>3468.2493808666186</v>
      </c>
    </row>
    <row r="2827" spans="1:2" x14ac:dyDescent="0.2">
      <c r="A2827">
        <v>1689.4686712277471</v>
      </c>
      <c r="B2827">
        <v>3478.510541119409</v>
      </c>
    </row>
    <row r="2828" spans="1:2" x14ac:dyDescent="0.2">
      <c r="A2828">
        <v>3288.9932118330617</v>
      </c>
      <c r="B2828">
        <v>3481.3834311571263</v>
      </c>
    </row>
    <row r="2829" spans="1:2" x14ac:dyDescent="0.2">
      <c r="A2829">
        <v>3528.2422725833021</v>
      </c>
      <c r="B2829">
        <v>3484.2978534630674</v>
      </c>
    </row>
    <row r="2830" spans="1:2" x14ac:dyDescent="0.2">
      <c r="A2830">
        <v>-30177.596240294457</v>
      </c>
      <c r="B2830">
        <v>3488.8427104813745</v>
      </c>
    </row>
    <row r="2831" spans="1:2" x14ac:dyDescent="0.2">
      <c r="A2831">
        <v>5096.6902757090866</v>
      </c>
      <c r="B2831">
        <v>3497.2339641099679</v>
      </c>
    </row>
    <row r="2832" spans="1:2" x14ac:dyDescent="0.2">
      <c r="A2832">
        <v>-12274.387399933534</v>
      </c>
      <c r="B2832">
        <v>3504.156090900884</v>
      </c>
    </row>
    <row r="2833" spans="1:2" x14ac:dyDescent="0.2">
      <c r="A2833">
        <v>-10255.420544512861</v>
      </c>
      <c r="B2833">
        <v>3508.600619247125</v>
      </c>
    </row>
    <row r="2834" spans="1:2" x14ac:dyDescent="0.2">
      <c r="A2834">
        <v>-4134.4084466258064</v>
      </c>
      <c r="B2834">
        <v>3515.2276780089596</v>
      </c>
    </row>
    <row r="2835" spans="1:2" x14ac:dyDescent="0.2">
      <c r="A2835">
        <v>-20486.586238743184</v>
      </c>
      <c r="B2835">
        <v>3517.1896783482516</v>
      </c>
    </row>
    <row r="2836" spans="1:2" x14ac:dyDescent="0.2">
      <c r="A2836">
        <v>-12424.521205247322</v>
      </c>
      <c r="B2836">
        <v>3520.5097487930616</v>
      </c>
    </row>
    <row r="2837" spans="1:2" x14ac:dyDescent="0.2">
      <c r="A2837">
        <v>4176.0022051743872</v>
      </c>
      <c r="B2837">
        <v>3520.8679740600055</v>
      </c>
    </row>
    <row r="2838" spans="1:2" x14ac:dyDescent="0.2">
      <c r="A2838">
        <v>-711.42547645495506</v>
      </c>
      <c r="B2838">
        <v>3526.8029405715351</v>
      </c>
    </row>
    <row r="2839" spans="1:2" x14ac:dyDescent="0.2">
      <c r="A2839">
        <v>8696.3654069088516</v>
      </c>
      <c r="B2839">
        <v>3528.2422725833021</v>
      </c>
    </row>
    <row r="2840" spans="1:2" x14ac:dyDescent="0.2">
      <c r="A2840">
        <v>6889.3200467835413</v>
      </c>
      <c r="B2840">
        <v>3536.5439957385679</v>
      </c>
    </row>
    <row r="2841" spans="1:2" x14ac:dyDescent="0.2">
      <c r="A2841">
        <v>-9501.0764718871214</v>
      </c>
      <c r="B2841">
        <v>3536.7409983057296</v>
      </c>
    </row>
    <row r="2842" spans="1:2" x14ac:dyDescent="0.2">
      <c r="A2842">
        <v>-9511.2693804558949</v>
      </c>
      <c r="B2842">
        <v>3537.4674151737709</v>
      </c>
    </row>
    <row r="2843" spans="1:2" x14ac:dyDescent="0.2">
      <c r="A2843">
        <v>-9971.0508745761472</v>
      </c>
      <c r="B2843">
        <v>3537.8287839992554</v>
      </c>
    </row>
    <row r="2844" spans="1:2" x14ac:dyDescent="0.2">
      <c r="A2844">
        <v>-3468.7376732307603</v>
      </c>
      <c r="B2844">
        <v>3543.7807041517808</v>
      </c>
    </row>
    <row r="2845" spans="1:2" x14ac:dyDescent="0.2">
      <c r="A2845">
        <v>-11959.792936085549</v>
      </c>
      <c r="B2845">
        <v>3547.3859477238148</v>
      </c>
    </row>
    <row r="2846" spans="1:2" x14ac:dyDescent="0.2">
      <c r="A2846">
        <v>10415.315618211578</v>
      </c>
      <c r="B2846">
        <v>3553.5792340982589</v>
      </c>
    </row>
    <row r="2847" spans="1:2" x14ac:dyDescent="0.2">
      <c r="A2847">
        <v>11941.674520301167</v>
      </c>
      <c r="B2847">
        <v>3558.752044496563</v>
      </c>
    </row>
    <row r="2848" spans="1:2" x14ac:dyDescent="0.2">
      <c r="A2848">
        <v>-3116.4448708326672</v>
      </c>
      <c r="B2848">
        <v>3559.5817894699576</v>
      </c>
    </row>
    <row r="2849" spans="1:2" x14ac:dyDescent="0.2">
      <c r="A2849">
        <v>-7770.374926509845</v>
      </c>
      <c r="B2849">
        <v>3566.334438904014</v>
      </c>
    </row>
    <row r="2850" spans="1:2" x14ac:dyDescent="0.2">
      <c r="A2850">
        <v>5045.2298154027667</v>
      </c>
      <c r="B2850">
        <v>3575.4675485097687</v>
      </c>
    </row>
    <row r="2851" spans="1:2" x14ac:dyDescent="0.2">
      <c r="A2851">
        <v>16971.673460405087</v>
      </c>
      <c r="B2851">
        <v>3579.5436403887579</v>
      </c>
    </row>
    <row r="2852" spans="1:2" x14ac:dyDescent="0.2">
      <c r="A2852">
        <v>13155.165633176046</v>
      </c>
      <c r="B2852">
        <v>3580.3389611655439</v>
      </c>
    </row>
    <row r="2853" spans="1:2" x14ac:dyDescent="0.2">
      <c r="A2853">
        <v>4513.2245153973636</v>
      </c>
      <c r="B2853">
        <v>3592.1517248223245</v>
      </c>
    </row>
    <row r="2854" spans="1:2" x14ac:dyDescent="0.2">
      <c r="A2854">
        <v>-14324.34211877716</v>
      </c>
      <c r="B2854">
        <v>3595.4964778416324</v>
      </c>
    </row>
    <row r="2855" spans="1:2" x14ac:dyDescent="0.2">
      <c r="A2855">
        <v>-9945.6690966811148</v>
      </c>
      <c r="B2855">
        <v>3598.8479239557346</v>
      </c>
    </row>
    <row r="2856" spans="1:2" x14ac:dyDescent="0.2">
      <c r="A2856">
        <v>3453.724131796218</v>
      </c>
      <c r="B2856">
        <v>3599.3615736087086</v>
      </c>
    </row>
    <row r="2857" spans="1:2" x14ac:dyDescent="0.2">
      <c r="A2857">
        <v>2212.4942962551722</v>
      </c>
      <c r="B2857">
        <v>3603.6950454677572</v>
      </c>
    </row>
    <row r="2858" spans="1:2" x14ac:dyDescent="0.2">
      <c r="A2858">
        <v>9743.5271411980502</v>
      </c>
      <c r="B2858">
        <v>3608.217483962886</v>
      </c>
    </row>
    <row r="2859" spans="1:2" x14ac:dyDescent="0.2">
      <c r="A2859">
        <v>106.24251306225779</v>
      </c>
      <c r="B2859">
        <v>3610.5131328200514</v>
      </c>
    </row>
    <row r="2860" spans="1:2" x14ac:dyDescent="0.2">
      <c r="A2860">
        <v>-1575.0539074609405</v>
      </c>
      <c r="B2860">
        <v>3611.2691054808092</v>
      </c>
    </row>
    <row r="2861" spans="1:2" x14ac:dyDescent="0.2">
      <c r="A2861">
        <v>11237.629158069903</v>
      </c>
      <c r="B2861">
        <v>3611.818195966538</v>
      </c>
    </row>
    <row r="2862" spans="1:2" x14ac:dyDescent="0.2">
      <c r="A2862">
        <v>5186.8837901919032</v>
      </c>
      <c r="B2862">
        <v>3618.5873772056657</v>
      </c>
    </row>
    <row r="2863" spans="1:2" x14ac:dyDescent="0.2">
      <c r="A2863">
        <v>-22882.208867888607</v>
      </c>
      <c r="B2863">
        <v>3628.3576209091989</v>
      </c>
    </row>
    <row r="2864" spans="1:2" x14ac:dyDescent="0.2">
      <c r="A2864">
        <v>-6777.1295801888627</v>
      </c>
      <c r="B2864">
        <v>3632.7823410023702</v>
      </c>
    </row>
    <row r="2865" spans="1:2" x14ac:dyDescent="0.2">
      <c r="A2865">
        <v>-3798.6050082727161</v>
      </c>
      <c r="B2865">
        <v>3634.1813140628219</v>
      </c>
    </row>
    <row r="2866" spans="1:2" x14ac:dyDescent="0.2">
      <c r="A2866">
        <v>-8646.2938732558978</v>
      </c>
      <c r="B2866">
        <v>3637.0932032206329</v>
      </c>
    </row>
    <row r="2867" spans="1:2" x14ac:dyDescent="0.2">
      <c r="A2867">
        <v>-2213.5765163199976</v>
      </c>
      <c r="B2867">
        <v>3637.1722395970719</v>
      </c>
    </row>
    <row r="2868" spans="1:2" x14ac:dyDescent="0.2">
      <c r="A2868">
        <v>6733.1533125466667</v>
      </c>
      <c r="B2868">
        <v>3639.9574577969324</v>
      </c>
    </row>
    <row r="2869" spans="1:2" x14ac:dyDescent="0.2">
      <c r="A2869">
        <v>-2038.2825696806831</v>
      </c>
      <c r="B2869">
        <v>3644.8556111620273</v>
      </c>
    </row>
    <row r="2870" spans="1:2" x14ac:dyDescent="0.2">
      <c r="A2870">
        <v>-787.94984497904079</v>
      </c>
      <c r="B2870">
        <v>3646.7477399796189</v>
      </c>
    </row>
    <row r="2871" spans="1:2" x14ac:dyDescent="0.2">
      <c r="A2871">
        <v>-61.071371586876921</v>
      </c>
      <c r="B2871">
        <v>3649.6628706200863</v>
      </c>
    </row>
    <row r="2872" spans="1:2" x14ac:dyDescent="0.2">
      <c r="A2872">
        <v>-154.53080324252369</v>
      </c>
      <c r="B2872">
        <v>3651.0686972770782</v>
      </c>
    </row>
    <row r="2873" spans="1:2" x14ac:dyDescent="0.2">
      <c r="A2873">
        <v>1081.9527725529624</v>
      </c>
      <c r="B2873">
        <v>3655.0349958128645</v>
      </c>
    </row>
    <row r="2874" spans="1:2" x14ac:dyDescent="0.2">
      <c r="A2874">
        <v>-18542.218196383998</v>
      </c>
      <c r="B2874">
        <v>3655.9348752049846</v>
      </c>
    </row>
    <row r="2875" spans="1:2" x14ac:dyDescent="0.2">
      <c r="A2875">
        <v>1844.9885376802704</v>
      </c>
      <c r="B2875">
        <v>3656.3252829818521</v>
      </c>
    </row>
    <row r="2876" spans="1:2" x14ac:dyDescent="0.2">
      <c r="A2876">
        <v>2527.6316598610138</v>
      </c>
      <c r="B2876">
        <v>3659.6834384423564</v>
      </c>
    </row>
    <row r="2877" spans="1:2" x14ac:dyDescent="0.2">
      <c r="A2877">
        <v>-1358.2862207248399</v>
      </c>
      <c r="B2877">
        <v>3662.1590222970117</v>
      </c>
    </row>
    <row r="2878" spans="1:2" x14ac:dyDescent="0.2">
      <c r="A2878">
        <v>1546.1939760996029</v>
      </c>
      <c r="B2878">
        <v>3663.9927918999747</v>
      </c>
    </row>
    <row r="2879" spans="1:2" x14ac:dyDescent="0.2">
      <c r="A2879">
        <v>18434.375517808876</v>
      </c>
      <c r="B2879">
        <v>3664.0302000473603</v>
      </c>
    </row>
    <row r="2880" spans="1:2" x14ac:dyDescent="0.2">
      <c r="A2880">
        <v>17194.356488592573</v>
      </c>
      <c r="B2880">
        <v>3667.1975822133827</v>
      </c>
    </row>
    <row r="2881" spans="1:2" x14ac:dyDescent="0.2">
      <c r="A2881">
        <v>-2459.9744982116099</v>
      </c>
      <c r="B2881">
        <v>3670.2117393408844</v>
      </c>
    </row>
    <row r="2882" spans="1:2" x14ac:dyDescent="0.2">
      <c r="A2882">
        <v>14415.953064706526</v>
      </c>
      <c r="B2882">
        <v>3675.6764641669288</v>
      </c>
    </row>
    <row r="2883" spans="1:2" x14ac:dyDescent="0.2">
      <c r="A2883">
        <v>-22317.587045434571</v>
      </c>
      <c r="B2883">
        <v>3675.6960231648118</v>
      </c>
    </row>
    <row r="2884" spans="1:2" x14ac:dyDescent="0.2">
      <c r="A2884">
        <v>10609.499347165518</v>
      </c>
      <c r="B2884">
        <v>3678.7605462345527</v>
      </c>
    </row>
    <row r="2885" spans="1:2" x14ac:dyDescent="0.2">
      <c r="A2885">
        <v>1320.9094140595698</v>
      </c>
      <c r="B2885">
        <v>3681.0095610478311</v>
      </c>
    </row>
    <row r="2886" spans="1:2" x14ac:dyDescent="0.2">
      <c r="A2886">
        <v>3804.5446713672136</v>
      </c>
      <c r="B2886">
        <v>3682.085783154238</v>
      </c>
    </row>
    <row r="2887" spans="1:2" x14ac:dyDescent="0.2">
      <c r="A2887">
        <v>-2912.9927162838867</v>
      </c>
      <c r="B2887">
        <v>3683.083216974861</v>
      </c>
    </row>
    <row r="2888" spans="1:2" x14ac:dyDescent="0.2">
      <c r="A2888">
        <v>-20237.397744354617</v>
      </c>
      <c r="B2888">
        <v>3690.2792083447275</v>
      </c>
    </row>
    <row r="2889" spans="1:2" x14ac:dyDescent="0.2">
      <c r="A2889">
        <v>-920.59609874000307</v>
      </c>
      <c r="B2889">
        <v>3695.616332015401</v>
      </c>
    </row>
    <row r="2890" spans="1:2" x14ac:dyDescent="0.2">
      <c r="A2890">
        <v>-2654.5007167941658</v>
      </c>
      <c r="B2890">
        <v>3696.4574299171218</v>
      </c>
    </row>
    <row r="2891" spans="1:2" x14ac:dyDescent="0.2">
      <c r="A2891">
        <v>-7016.6685955878929</v>
      </c>
      <c r="B2891">
        <v>3701.3601266120095</v>
      </c>
    </row>
    <row r="2892" spans="1:2" x14ac:dyDescent="0.2">
      <c r="A2892">
        <v>-3611.9620885047771</v>
      </c>
      <c r="B2892">
        <v>3707.8280077239324</v>
      </c>
    </row>
    <row r="2893" spans="1:2" x14ac:dyDescent="0.2">
      <c r="A2893">
        <v>1106.3282844023488</v>
      </c>
      <c r="B2893">
        <v>3718.7723214908619</v>
      </c>
    </row>
    <row r="2894" spans="1:2" x14ac:dyDescent="0.2">
      <c r="A2894">
        <v>-381.78803625301225</v>
      </c>
      <c r="B2894">
        <v>3723.1106828181364</v>
      </c>
    </row>
    <row r="2895" spans="1:2" x14ac:dyDescent="0.2">
      <c r="A2895">
        <v>5583.893792928051</v>
      </c>
      <c r="B2895">
        <v>3738.9537471920194</v>
      </c>
    </row>
    <row r="2896" spans="1:2" x14ac:dyDescent="0.2">
      <c r="A2896">
        <v>-17149.649756182451</v>
      </c>
      <c r="B2896">
        <v>3742.4803996308183</v>
      </c>
    </row>
    <row r="2897" spans="1:2" x14ac:dyDescent="0.2">
      <c r="A2897">
        <v>4462.984360349481</v>
      </c>
      <c r="B2897">
        <v>3747.4633920731721</v>
      </c>
    </row>
    <row r="2898" spans="1:2" x14ac:dyDescent="0.2">
      <c r="A2898">
        <v>-8056.2753782360523</v>
      </c>
      <c r="B2898">
        <v>3748.799151476589</v>
      </c>
    </row>
    <row r="2899" spans="1:2" x14ac:dyDescent="0.2">
      <c r="A2899">
        <v>1790.5720741393161</v>
      </c>
      <c r="B2899">
        <v>3751.2112126707798</v>
      </c>
    </row>
    <row r="2900" spans="1:2" x14ac:dyDescent="0.2">
      <c r="A2900">
        <v>-5902.0988935141359</v>
      </c>
      <c r="B2900">
        <v>3753.8951414006297</v>
      </c>
    </row>
    <row r="2901" spans="1:2" x14ac:dyDescent="0.2">
      <c r="A2901">
        <v>8170.1533204684965</v>
      </c>
      <c r="B2901">
        <v>3754.0575635069399</v>
      </c>
    </row>
    <row r="2902" spans="1:2" x14ac:dyDescent="0.2">
      <c r="A2902">
        <v>-7599.9160441174754</v>
      </c>
      <c r="B2902">
        <v>3755.600670046726</v>
      </c>
    </row>
    <row r="2903" spans="1:2" x14ac:dyDescent="0.2">
      <c r="A2903">
        <v>2016.1110258845147</v>
      </c>
      <c r="B2903">
        <v>3769.4694637886714</v>
      </c>
    </row>
    <row r="2904" spans="1:2" x14ac:dyDescent="0.2">
      <c r="A2904">
        <v>6296.9755709625024</v>
      </c>
      <c r="B2904">
        <v>3779.9810449490324</v>
      </c>
    </row>
    <row r="2905" spans="1:2" x14ac:dyDescent="0.2">
      <c r="A2905">
        <v>8744.1704976014444</v>
      </c>
      <c r="B2905">
        <v>3784.9060221923573</v>
      </c>
    </row>
    <row r="2906" spans="1:2" x14ac:dyDescent="0.2">
      <c r="A2906">
        <v>17513.039558193646</v>
      </c>
      <c r="B2906">
        <v>3785.9305273658829</v>
      </c>
    </row>
    <row r="2907" spans="1:2" x14ac:dyDescent="0.2">
      <c r="A2907">
        <v>-5620.3930514010426</v>
      </c>
      <c r="B2907">
        <v>3787.4467101363989</v>
      </c>
    </row>
    <row r="2908" spans="1:2" x14ac:dyDescent="0.2">
      <c r="A2908">
        <v>170.55081032385351</v>
      </c>
      <c r="B2908">
        <v>3788.7539697425673</v>
      </c>
    </row>
    <row r="2909" spans="1:2" x14ac:dyDescent="0.2">
      <c r="A2909">
        <v>8966.4167999480851</v>
      </c>
      <c r="B2909">
        <v>3790.0156342486735</v>
      </c>
    </row>
    <row r="2910" spans="1:2" x14ac:dyDescent="0.2">
      <c r="A2910">
        <v>-63.846913262095768</v>
      </c>
      <c r="B2910">
        <v>3790.3840124730777</v>
      </c>
    </row>
    <row r="2911" spans="1:2" x14ac:dyDescent="0.2">
      <c r="A2911">
        <v>7687.9289360862167</v>
      </c>
      <c r="B2911">
        <v>3793.7661425281549</v>
      </c>
    </row>
    <row r="2912" spans="1:2" x14ac:dyDescent="0.2">
      <c r="A2912">
        <v>348.03923288200167</v>
      </c>
      <c r="B2912">
        <v>3799.7167036188475</v>
      </c>
    </row>
    <row r="2913" spans="1:2" x14ac:dyDescent="0.2">
      <c r="A2913">
        <v>4625.5878285629151</v>
      </c>
      <c r="B2913">
        <v>3802.7909187853802</v>
      </c>
    </row>
    <row r="2914" spans="1:2" x14ac:dyDescent="0.2">
      <c r="A2914">
        <v>993.14927344443277</v>
      </c>
      <c r="B2914">
        <v>3804.5446713672136</v>
      </c>
    </row>
    <row r="2915" spans="1:2" x14ac:dyDescent="0.2">
      <c r="A2915">
        <v>16675.106303782581</v>
      </c>
      <c r="B2915">
        <v>3804.7856228303863</v>
      </c>
    </row>
    <row r="2916" spans="1:2" x14ac:dyDescent="0.2">
      <c r="A2916">
        <v>19348.11987702694</v>
      </c>
      <c r="B2916">
        <v>3812.4619588502683</v>
      </c>
    </row>
    <row r="2917" spans="1:2" x14ac:dyDescent="0.2">
      <c r="A2917">
        <v>8044.7810163519462</v>
      </c>
      <c r="B2917">
        <v>3814.7921897143242</v>
      </c>
    </row>
    <row r="2918" spans="1:2" x14ac:dyDescent="0.2">
      <c r="A2918">
        <v>15951.71652734396</v>
      </c>
      <c r="B2918">
        <v>3815.7804458978935</v>
      </c>
    </row>
    <row r="2919" spans="1:2" x14ac:dyDescent="0.2">
      <c r="A2919">
        <v>7304.790220808587</v>
      </c>
      <c r="B2919">
        <v>3815.8519674751151</v>
      </c>
    </row>
    <row r="2920" spans="1:2" x14ac:dyDescent="0.2">
      <c r="A2920">
        <v>-62.343007356685121</v>
      </c>
      <c r="B2920">
        <v>3825.3359193164215</v>
      </c>
    </row>
    <row r="2921" spans="1:2" x14ac:dyDescent="0.2">
      <c r="A2921">
        <v>16998.464081404411</v>
      </c>
      <c r="B2921">
        <v>3828.3505079176102</v>
      </c>
    </row>
    <row r="2922" spans="1:2" x14ac:dyDescent="0.2">
      <c r="A2922">
        <v>-10402.830809420673</v>
      </c>
      <c r="B2922">
        <v>3828.4584174836637</v>
      </c>
    </row>
    <row r="2923" spans="1:2" x14ac:dyDescent="0.2">
      <c r="A2923">
        <v>6761.2244834982557</v>
      </c>
      <c r="B2923">
        <v>3829.7659968078369</v>
      </c>
    </row>
    <row r="2924" spans="1:2" x14ac:dyDescent="0.2">
      <c r="A2924">
        <v>-10374.978378548811</v>
      </c>
      <c r="B2924">
        <v>3836.8452425532159</v>
      </c>
    </row>
    <row r="2925" spans="1:2" x14ac:dyDescent="0.2">
      <c r="A2925">
        <v>6087.8520766371512</v>
      </c>
      <c r="B2925">
        <v>3838.3322109545115</v>
      </c>
    </row>
    <row r="2926" spans="1:2" x14ac:dyDescent="0.2">
      <c r="A2926">
        <v>-3660.7444771705195</v>
      </c>
      <c r="B2926">
        <v>3847.6898893114412</v>
      </c>
    </row>
    <row r="2927" spans="1:2" x14ac:dyDescent="0.2">
      <c r="A2927">
        <v>3062.4940076024213</v>
      </c>
      <c r="B2927">
        <v>3849.7557763647346</v>
      </c>
    </row>
    <row r="2928" spans="1:2" x14ac:dyDescent="0.2">
      <c r="A2928">
        <v>-2686.6646063389489</v>
      </c>
      <c r="B2928">
        <v>3850.9805275391263</v>
      </c>
    </row>
    <row r="2929" spans="1:2" x14ac:dyDescent="0.2">
      <c r="A2929">
        <v>305.72525971758296</v>
      </c>
      <c r="B2929">
        <v>3851.9511176732194</v>
      </c>
    </row>
    <row r="2930" spans="1:2" x14ac:dyDescent="0.2">
      <c r="A2930">
        <v>1045.1071530778136</v>
      </c>
      <c r="B2930">
        <v>3854.6428306470625</v>
      </c>
    </row>
    <row r="2931" spans="1:2" x14ac:dyDescent="0.2">
      <c r="A2931">
        <v>5837.277575122891</v>
      </c>
      <c r="B2931">
        <v>3854.9885880177899</v>
      </c>
    </row>
    <row r="2932" spans="1:2" x14ac:dyDescent="0.2">
      <c r="A2932">
        <v>16830.702459285385</v>
      </c>
      <c r="B2932">
        <v>3860.199865102084</v>
      </c>
    </row>
    <row r="2933" spans="1:2" x14ac:dyDescent="0.2">
      <c r="A2933">
        <v>2068.2583208048309</v>
      </c>
      <c r="B2933">
        <v>3860.5555862175825</v>
      </c>
    </row>
    <row r="2934" spans="1:2" x14ac:dyDescent="0.2">
      <c r="A2934">
        <v>568.52911646783468</v>
      </c>
      <c r="B2934">
        <v>3867.8235078719736</v>
      </c>
    </row>
    <row r="2935" spans="1:2" x14ac:dyDescent="0.2">
      <c r="A2935">
        <v>10884.179470941162</v>
      </c>
      <c r="B2935">
        <v>3872.8197610294737</v>
      </c>
    </row>
    <row r="2936" spans="1:2" x14ac:dyDescent="0.2">
      <c r="A2936">
        <v>11371.941167598387</v>
      </c>
      <c r="B2936">
        <v>3893.9814086252009</v>
      </c>
    </row>
    <row r="2937" spans="1:2" x14ac:dyDescent="0.2">
      <c r="A2937">
        <v>3158.4753600413678</v>
      </c>
      <c r="B2937">
        <v>3894.6668640651915</v>
      </c>
    </row>
    <row r="2938" spans="1:2" x14ac:dyDescent="0.2">
      <c r="A2938">
        <v>-5540.2951376766432</v>
      </c>
      <c r="B2938">
        <v>3906.9210999289644</v>
      </c>
    </row>
    <row r="2939" spans="1:2" x14ac:dyDescent="0.2">
      <c r="A2939">
        <v>-20502.397006525891</v>
      </c>
      <c r="B2939">
        <v>3912.2691117248614</v>
      </c>
    </row>
    <row r="2940" spans="1:2" x14ac:dyDescent="0.2">
      <c r="A2940">
        <v>-3404.4419885562966</v>
      </c>
      <c r="B2940">
        <v>3921.6192526715167</v>
      </c>
    </row>
    <row r="2941" spans="1:2" x14ac:dyDescent="0.2">
      <c r="A2941">
        <v>15515.375229480676</v>
      </c>
      <c r="B2941">
        <v>3923.0677092285478</v>
      </c>
    </row>
    <row r="2942" spans="1:2" x14ac:dyDescent="0.2">
      <c r="A2942">
        <v>22501.860776839661</v>
      </c>
      <c r="B2942">
        <v>3932.636610251473</v>
      </c>
    </row>
    <row r="2943" spans="1:2" x14ac:dyDescent="0.2">
      <c r="A2943">
        <v>-19663.375577512023</v>
      </c>
      <c r="B2943">
        <v>3935.115032325557</v>
      </c>
    </row>
    <row r="2944" spans="1:2" x14ac:dyDescent="0.2">
      <c r="A2944">
        <v>5041.2461104862159</v>
      </c>
      <c r="B2944">
        <v>3935.5728721992637</v>
      </c>
    </row>
    <row r="2945" spans="1:2" x14ac:dyDescent="0.2">
      <c r="A2945">
        <v>20625.120011985186</v>
      </c>
      <c r="B2945">
        <v>3936.79768226124</v>
      </c>
    </row>
    <row r="2946" spans="1:2" x14ac:dyDescent="0.2">
      <c r="A2946">
        <v>342.38908015689231</v>
      </c>
      <c r="B2946">
        <v>3946.4315036225598</v>
      </c>
    </row>
    <row r="2947" spans="1:2" x14ac:dyDescent="0.2">
      <c r="A2947">
        <v>4914.9676551885786</v>
      </c>
      <c r="B2947">
        <v>3955.9307052751537</v>
      </c>
    </row>
    <row r="2948" spans="1:2" x14ac:dyDescent="0.2">
      <c r="A2948">
        <v>-6380.8131121007609</v>
      </c>
      <c r="B2948">
        <v>3962.8900333578349</v>
      </c>
    </row>
    <row r="2949" spans="1:2" x14ac:dyDescent="0.2">
      <c r="A2949">
        <v>-3124.7232264362974</v>
      </c>
      <c r="B2949">
        <v>3968.9111743020185</v>
      </c>
    </row>
    <row r="2950" spans="1:2" x14ac:dyDescent="0.2">
      <c r="A2950">
        <v>3769.4694637886714</v>
      </c>
      <c r="B2950">
        <v>3970.7665380446415</v>
      </c>
    </row>
    <row r="2951" spans="1:2" x14ac:dyDescent="0.2">
      <c r="A2951">
        <v>-5994.0893606802274</v>
      </c>
      <c r="B2951">
        <v>3973.6740993696149</v>
      </c>
    </row>
    <row r="2952" spans="1:2" x14ac:dyDescent="0.2">
      <c r="A2952">
        <v>-15957.461725773057</v>
      </c>
      <c r="B2952">
        <v>3979.3700057333917</v>
      </c>
    </row>
    <row r="2953" spans="1:2" x14ac:dyDescent="0.2">
      <c r="A2953">
        <v>1904.6193191756029</v>
      </c>
      <c r="B2953">
        <v>3980.2393433332327</v>
      </c>
    </row>
    <row r="2954" spans="1:2" x14ac:dyDescent="0.2">
      <c r="A2954">
        <v>6097.8944896812318</v>
      </c>
      <c r="B2954">
        <v>3989.5982818899502</v>
      </c>
    </row>
    <row r="2955" spans="1:2" x14ac:dyDescent="0.2">
      <c r="A2955">
        <v>10107.243086310802</v>
      </c>
      <c r="B2955">
        <v>3991.0973997979017</v>
      </c>
    </row>
    <row r="2956" spans="1:2" x14ac:dyDescent="0.2">
      <c r="A2956">
        <v>-7104.3474386192975</v>
      </c>
      <c r="B2956">
        <v>3994.8750811832433</v>
      </c>
    </row>
    <row r="2957" spans="1:2" x14ac:dyDescent="0.2">
      <c r="A2957">
        <v>9492.1485023077694</v>
      </c>
      <c r="B2957">
        <v>4006.641458376369</v>
      </c>
    </row>
    <row r="2958" spans="1:2" x14ac:dyDescent="0.2">
      <c r="A2958">
        <v>12530.250393858354</v>
      </c>
      <c r="B2958">
        <v>4007.1590438619023</v>
      </c>
    </row>
    <row r="2959" spans="1:2" x14ac:dyDescent="0.2">
      <c r="A2959">
        <v>1351.6241997921607</v>
      </c>
      <c r="B2959">
        <v>4012.7714425603044</v>
      </c>
    </row>
    <row r="2960" spans="1:2" x14ac:dyDescent="0.2">
      <c r="A2960">
        <v>-7399.6744852474658</v>
      </c>
      <c r="B2960">
        <v>4012.8623878334765</v>
      </c>
    </row>
    <row r="2961" spans="1:2" x14ac:dyDescent="0.2">
      <c r="A2961">
        <v>-8461.1852627957123</v>
      </c>
      <c r="B2961">
        <v>4018.1767097373959</v>
      </c>
    </row>
    <row r="2962" spans="1:2" x14ac:dyDescent="0.2">
      <c r="A2962">
        <v>2958.4115212347242</v>
      </c>
      <c r="B2962">
        <v>4021.9669523452758</v>
      </c>
    </row>
    <row r="2963" spans="1:2" x14ac:dyDescent="0.2">
      <c r="A2963">
        <v>16296.799314978343</v>
      </c>
      <c r="B2963">
        <v>4025.4352851143631</v>
      </c>
    </row>
    <row r="2964" spans="1:2" x14ac:dyDescent="0.2">
      <c r="A2964">
        <v>-5681.8710163651267</v>
      </c>
      <c r="B2964">
        <v>4043.0256835545879</v>
      </c>
    </row>
    <row r="2965" spans="1:2" x14ac:dyDescent="0.2">
      <c r="A2965">
        <v>-3881.0377383862506</v>
      </c>
      <c r="B2965">
        <v>4047.3983132209978</v>
      </c>
    </row>
    <row r="2966" spans="1:2" x14ac:dyDescent="0.2">
      <c r="A2966">
        <v>7344.2124716908729</v>
      </c>
      <c r="B2966">
        <v>4049.0557974517869</v>
      </c>
    </row>
    <row r="2967" spans="1:2" x14ac:dyDescent="0.2">
      <c r="A2967">
        <v>13946.568285078334</v>
      </c>
      <c r="B2967">
        <v>4051.2965634027205</v>
      </c>
    </row>
    <row r="2968" spans="1:2" x14ac:dyDescent="0.2">
      <c r="A2968">
        <v>3690.2792083447275</v>
      </c>
      <c r="B2968">
        <v>4051.6099984085304</v>
      </c>
    </row>
    <row r="2969" spans="1:2" x14ac:dyDescent="0.2">
      <c r="A2969">
        <v>7511.9086964902817</v>
      </c>
      <c r="B2969">
        <v>4057.2677739188657</v>
      </c>
    </row>
    <row r="2970" spans="1:2" x14ac:dyDescent="0.2">
      <c r="A2970">
        <v>-2543.4159569320909</v>
      </c>
      <c r="B2970">
        <v>4063.6377617866383</v>
      </c>
    </row>
    <row r="2971" spans="1:2" x14ac:dyDescent="0.2">
      <c r="A2971">
        <v>-4241.8182974201627</v>
      </c>
      <c r="B2971">
        <v>4064.6562343487749</v>
      </c>
    </row>
    <row r="2972" spans="1:2" x14ac:dyDescent="0.2">
      <c r="A2972">
        <v>6337.1073893546709</v>
      </c>
      <c r="B2972">
        <v>4068.3610176432994</v>
      </c>
    </row>
    <row r="2973" spans="1:2" x14ac:dyDescent="0.2">
      <c r="A2973">
        <v>-13415.132209390984</v>
      </c>
      <c r="B2973">
        <v>4082.9690615040599</v>
      </c>
    </row>
    <row r="2974" spans="1:2" x14ac:dyDescent="0.2">
      <c r="A2974">
        <v>17604.602116155031</v>
      </c>
      <c r="B2974">
        <v>4086.6762190367444</v>
      </c>
    </row>
    <row r="2975" spans="1:2" x14ac:dyDescent="0.2">
      <c r="A2975">
        <v>1120.0229918600817</v>
      </c>
      <c r="B2975">
        <v>4100.4199946862645</v>
      </c>
    </row>
    <row r="2976" spans="1:2" x14ac:dyDescent="0.2">
      <c r="A2976">
        <v>-2929.24579187372</v>
      </c>
      <c r="B2976">
        <v>4103.5031855902344</v>
      </c>
    </row>
    <row r="2977" spans="1:2" x14ac:dyDescent="0.2">
      <c r="A2977">
        <v>-12778.144714483758</v>
      </c>
      <c r="B2977">
        <v>4105.1533795599535</v>
      </c>
    </row>
    <row r="2978" spans="1:2" x14ac:dyDescent="0.2">
      <c r="A2978">
        <v>16208.909926427354</v>
      </c>
      <c r="B2978">
        <v>4109.3958050511137</v>
      </c>
    </row>
    <row r="2979" spans="1:2" x14ac:dyDescent="0.2">
      <c r="A2979">
        <v>5926.5932748405903</v>
      </c>
      <c r="B2979">
        <v>4113.9661569382297</v>
      </c>
    </row>
    <row r="2980" spans="1:2" x14ac:dyDescent="0.2">
      <c r="A2980">
        <v>-302.16016057238448</v>
      </c>
      <c r="B2980">
        <v>4119.9267419994576</v>
      </c>
    </row>
    <row r="2981" spans="1:2" x14ac:dyDescent="0.2">
      <c r="A2981">
        <v>-17555.738807948859</v>
      </c>
      <c r="B2981">
        <v>4123.239052034216</v>
      </c>
    </row>
    <row r="2982" spans="1:2" x14ac:dyDescent="0.2">
      <c r="A2982">
        <v>12115.238352421205</v>
      </c>
      <c r="B2982">
        <v>4124.8247844428115</v>
      </c>
    </row>
    <row r="2983" spans="1:2" x14ac:dyDescent="0.2">
      <c r="A2983">
        <v>9585.3409271532146</v>
      </c>
      <c r="B2983">
        <v>4125.6159218571847</v>
      </c>
    </row>
    <row r="2984" spans="1:2" x14ac:dyDescent="0.2">
      <c r="A2984">
        <v>13438.001229173955</v>
      </c>
      <c r="B2984">
        <v>4128.8422659789212</v>
      </c>
    </row>
    <row r="2985" spans="1:2" x14ac:dyDescent="0.2">
      <c r="A2985">
        <v>3747.4633920731721</v>
      </c>
      <c r="B2985">
        <v>4129.3215928649297</v>
      </c>
    </row>
    <row r="2986" spans="1:2" x14ac:dyDescent="0.2">
      <c r="A2986">
        <v>-7433.1643165935238</v>
      </c>
      <c r="B2986">
        <v>4134.1397390090278</v>
      </c>
    </row>
    <row r="2987" spans="1:2" x14ac:dyDescent="0.2">
      <c r="A2987">
        <v>4179.3895372917177</v>
      </c>
      <c r="B2987">
        <v>4138.2152554577333</v>
      </c>
    </row>
    <row r="2988" spans="1:2" x14ac:dyDescent="0.2">
      <c r="A2988">
        <v>-3759.9173566182726</v>
      </c>
      <c r="B2988">
        <v>4140.346559453581</v>
      </c>
    </row>
    <row r="2989" spans="1:2" x14ac:dyDescent="0.2">
      <c r="A2989">
        <v>-4411.3935316583666</v>
      </c>
      <c r="B2989">
        <v>4141.2771328444942</v>
      </c>
    </row>
    <row r="2990" spans="1:2" x14ac:dyDescent="0.2">
      <c r="A2990">
        <v>-16377.347085064976</v>
      </c>
      <c r="B2990">
        <v>4143.4906399394094</v>
      </c>
    </row>
    <row r="2991" spans="1:2" x14ac:dyDescent="0.2">
      <c r="A2991">
        <v>-9960.9137209084001</v>
      </c>
      <c r="B2991">
        <v>4151.4503635432047</v>
      </c>
    </row>
    <row r="2992" spans="1:2" x14ac:dyDescent="0.2">
      <c r="A2992">
        <v>12065.732430911099</v>
      </c>
      <c r="B2992">
        <v>4152.5800985053647</v>
      </c>
    </row>
    <row r="2993" spans="1:2" x14ac:dyDescent="0.2">
      <c r="A2993">
        <v>-10951.819815899129</v>
      </c>
      <c r="B2993">
        <v>4155.8155699816998</v>
      </c>
    </row>
    <row r="2994" spans="1:2" x14ac:dyDescent="0.2">
      <c r="A2994">
        <v>-6978.3918699714704</v>
      </c>
      <c r="B2994">
        <v>4162.280192440463</v>
      </c>
    </row>
    <row r="2995" spans="1:2" x14ac:dyDescent="0.2">
      <c r="A2995">
        <v>12395.422870090377</v>
      </c>
      <c r="B2995">
        <v>4175.1449136434239</v>
      </c>
    </row>
    <row r="2996" spans="1:2" x14ac:dyDescent="0.2">
      <c r="A2996">
        <v>-7178.9547775893589</v>
      </c>
      <c r="B2996">
        <v>4176.0022051743872</v>
      </c>
    </row>
    <row r="2997" spans="1:2" x14ac:dyDescent="0.2">
      <c r="A2997">
        <v>21216.276425459364</v>
      </c>
      <c r="B2997">
        <v>4178.0016924296506</v>
      </c>
    </row>
    <row r="2998" spans="1:2" x14ac:dyDescent="0.2">
      <c r="A2998">
        <v>-4599.0185591572081</v>
      </c>
      <c r="B2998">
        <v>4179.3895372917177</v>
      </c>
    </row>
    <row r="2999" spans="1:2" x14ac:dyDescent="0.2">
      <c r="A2999">
        <v>14538.699164508638</v>
      </c>
      <c r="B2999">
        <v>4179.8037208157184</v>
      </c>
    </row>
    <row r="3000" spans="1:2" x14ac:dyDescent="0.2">
      <c r="A3000">
        <v>2934.8257303467835</v>
      </c>
      <c r="B3000">
        <v>4180.2450011680776</v>
      </c>
    </row>
    <row r="3001" spans="1:2" x14ac:dyDescent="0.2">
      <c r="A3001">
        <v>4826.6576666441979</v>
      </c>
      <c r="B3001">
        <v>4198.1366091762902</v>
      </c>
    </row>
    <row r="3002" spans="1:2" x14ac:dyDescent="0.2">
      <c r="A3002">
        <v>-16663.437713555351</v>
      </c>
      <c r="B3002">
        <v>4198.2023437739699</v>
      </c>
    </row>
    <row r="3003" spans="1:2" x14ac:dyDescent="0.2">
      <c r="A3003">
        <v>9760.4308921329794</v>
      </c>
      <c r="B3003">
        <v>4200.1979195942404</v>
      </c>
    </row>
    <row r="3004" spans="1:2" x14ac:dyDescent="0.2">
      <c r="A3004">
        <v>-3855.9746118239127</v>
      </c>
      <c r="B3004">
        <v>4202.1354028495261</v>
      </c>
    </row>
    <row r="3005" spans="1:2" x14ac:dyDescent="0.2">
      <c r="A3005">
        <v>10870.600072874455</v>
      </c>
      <c r="B3005">
        <v>4220.5637359249231</v>
      </c>
    </row>
    <row r="3006" spans="1:2" x14ac:dyDescent="0.2">
      <c r="A3006">
        <v>-12351.221725678071</v>
      </c>
      <c r="B3006">
        <v>4226.8890638272278</v>
      </c>
    </row>
    <row r="3007" spans="1:2" x14ac:dyDescent="0.2">
      <c r="A3007">
        <v>8696.1429013677407</v>
      </c>
      <c r="B3007">
        <v>4228.8331716920075</v>
      </c>
    </row>
    <row r="3008" spans="1:2" x14ac:dyDescent="0.2">
      <c r="A3008">
        <v>-12286.259793519828</v>
      </c>
      <c r="B3008">
        <v>4233.8839354727243</v>
      </c>
    </row>
    <row r="3009" spans="1:2" x14ac:dyDescent="0.2">
      <c r="A3009">
        <v>4124.8247844428115</v>
      </c>
      <c r="B3009">
        <v>4255.8591370598297</v>
      </c>
    </row>
    <row r="3010" spans="1:2" x14ac:dyDescent="0.2">
      <c r="A3010">
        <v>14177.678971426649</v>
      </c>
      <c r="B3010">
        <v>4268.7490968095371</v>
      </c>
    </row>
    <row r="3011" spans="1:2" x14ac:dyDescent="0.2">
      <c r="A3011">
        <v>-2617.1573449918069</v>
      </c>
      <c r="B3011">
        <v>4277.8163215875975</v>
      </c>
    </row>
    <row r="3012" spans="1:2" x14ac:dyDescent="0.2">
      <c r="A3012">
        <v>-7489.0979988270556</v>
      </c>
      <c r="B3012">
        <v>4280.7067959387205</v>
      </c>
    </row>
    <row r="3013" spans="1:2" x14ac:dyDescent="0.2">
      <c r="A3013">
        <v>12551.414244243002</v>
      </c>
      <c r="B3013">
        <v>4281.0144016955892</v>
      </c>
    </row>
    <row r="3014" spans="1:2" x14ac:dyDescent="0.2">
      <c r="A3014">
        <v>-1712.6719864440965</v>
      </c>
      <c r="B3014">
        <v>4284.1771935772267</v>
      </c>
    </row>
    <row r="3015" spans="1:2" x14ac:dyDescent="0.2">
      <c r="A3015">
        <v>-7151.7361674380081</v>
      </c>
      <c r="B3015">
        <v>4284.6176606362569</v>
      </c>
    </row>
    <row r="3016" spans="1:2" x14ac:dyDescent="0.2">
      <c r="A3016">
        <v>-13303.900874707848</v>
      </c>
      <c r="B3016">
        <v>4289.7198330269312</v>
      </c>
    </row>
    <row r="3017" spans="1:2" x14ac:dyDescent="0.2">
      <c r="A3017">
        <v>-4941.712532585836</v>
      </c>
      <c r="B3017">
        <v>4290.6537919201073</v>
      </c>
    </row>
    <row r="3018" spans="1:2" x14ac:dyDescent="0.2">
      <c r="A3018">
        <v>5911.2499902318523</v>
      </c>
      <c r="B3018">
        <v>4304.4459863933153</v>
      </c>
    </row>
    <row r="3019" spans="1:2" x14ac:dyDescent="0.2">
      <c r="A3019">
        <v>-11976.028258485807</v>
      </c>
      <c r="B3019">
        <v>4307.5259997799003</v>
      </c>
    </row>
    <row r="3020" spans="1:2" x14ac:dyDescent="0.2">
      <c r="A3020">
        <v>-855.10177579405718</v>
      </c>
      <c r="B3020">
        <v>4321.5714244579431</v>
      </c>
    </row>
    <row r="3021" spans="1:2" x14ac:dyDescent="0.2">
      <c r="A3021">
        <v>-10589.902944483794</v>
      </c>
      <c r="B3021">
        <v>4329.0961395481136</v>
      </c>
    </row>
    <row r="3022" spans="1:2" x14ac:dyDescent="0.2">
      <c r="A3022">
        <v>6040.3331482075446</v>
      </c>
      <c r="B3022">
        <v>4332.5326507054269</v>
      </c>
    </row>
    <row r="3023" spans="1:2" x14ac:dyDescent="0.2">
      <c r="A3023">
        <v>-10066.88818987488</v>
      </c>
      <c r="B3023">
        <v>4335.0297495592386</v>
      </c>
    </row>
    <row r="3024" spans="1:2" x14ac:dyDescent="0.2">
      <c r="A3024">
        <v>-2725.9058966739103</v>
      </c>
      <c r="B3024">
        <v>4340.2648790120147</v>
      </c>
    </row>
    <row r="3025" spans="1:2" x14ac:dyDescent="0.2">
      <c r="A3025">
        <v>4822.5722125742177</v>
      </c>
      <c r="B3025">
        <v>4347.7519381807069</v>
      </c>
    </row>
    <row r="3026" spans="1:2" x14ac:dyDescent="0.2">
      <c r="A3026">
        <v>-21215.560493950325</v>
      </c>
      <c r="B3026">
        <v>4351.6376398884167</v>
      </c>
    </row>
    <row r="3027" spans="1:2" x14ac:dyDescent="0.2">
      <c r="A3027">
        <v>2403.2173515411559</v>
      </c>
      <c r="B3027">
        <v>4352.6288095717318</v>
      </c>
    </row>
    <row r="3028" spans="1:2" x14ac:dyDescent="0.2">
      <c r="A3028">
        <v>-878.95140028541209</v>
      </c>
      <c r="B3028">
        <v>4357.105572552653</v>
      </c>
    </row>
    <row r="3029" spans="1:2" x14ac:dyDescent="0.2">
      <c r="A3029">
        <v>12611.206849828857</v>
      </c>
      <c r="B3029">
        <v>4357.4367803917557</v>
      </c>
    </row>
    <row r="3030" spans="1:2" x14ac:dyDescent="0.2">
      <c r="A3030">
        <v>11913.805235814361</v>
      </c>
      <c r="B3030">
        <v>4366.3055194366898</v>
      </c>
    </row>
    <row r="3031" spans="1:2" x14ac:dyDescent="0.2">
      <c r="A3031">
        <v>9918.75757215466</v>
      </c>
      <c r="B3031">
        <v>4371.7912337475282</v>
      </c>
    </row>
    <row r="3032" spans="1:2" x14ac:dyDescent="0.2">
      <c r="A3032">
        <v>3707.8280077239324</v>
      </c>
      <c r="B3032">
        <v>4384.0235383191903</v>
      </c>
    </row>
    <row r="3033" spans="1:2" x14ac:dyDescent="0.2">
      <c r="A3033">
        <v>27144.42277443147</v>
      </c>
      <c r="B3033">
        <v>4387.0923632284102</v>
      </c>
    </row>
    <row r="3034" spans="1:2" x14ac:dyDescent="0.2">
      <c r="A3034">
        <v>-1870.6842993512983</v>
      </c>
      <c r="B3034">
        <v>4389.1844524678309</v>
      </c>
    </row>
    <row r="3035" spans="1:2" x14ac:dyDescent="0.2">
      <c r="A3035">
        <v>13823.036265566712</v>
      </c>
      <c r="B3035">
        <v>4389.7509218880732</v>
      </c>
    </row>
    <row r="3036" spans="1:2" x14ac:dyDescent="0.2">
      <c r="A3036">
        <v>-186.39314284716966</v>
      </c>
      <c r="B3036">
        <v>4414.2148778368428</v>
      </c>
    </row>
    <row r="3037" spans="1:2" x14ac:dyDescent="0.2">
      <c r="A3037">
        <v>-1591.3138282758591</v>
      </c>
      <c r="B3037">
        <v>4415.6463269293599</v>
      </c>
    </row>
    <row r="3038" spans="1:2" x14ac:dyDescent="0.2">
      <c r="A3038">
        <v>14083.113637830538</v>
      </c>
      <c r="B3038">
        <v>4415.9028911159257</v>
      </c>
    </row>
    <row r="3039" spans="1:2" x14ac:dyDescent="0.2">
      <c r="A3039">
        <v>-5233.0443971028144</v>
      </c>
      <c r="B3039">
        <v>4424.8607272304071</v>
      </c>
    </row>
    <row r="3040" spans="1:2" x14ac:dyDescent="0.2">
      <c r="A3040">
        <v>13984.220728333254</v>
      </c>
      <c r="B3040">
        <v>4433.177541455545</v>
      </c>
    </row>
    <row r="3041" spans="1:2" x14ac:dyDescent="0.2">
      <c r="A3041">
        <v>-11727.756852954801</v>
      </c>
      <c r="B3041">
        <v>4434.6666803317203</v>
      </c>
    </row>
    <row r="3042" spans="1:2" x14ac:dyDescent="0.2">
      <c r="A3042">
        <v>6392.3195399913093</v>
      </c>
      <c r="B3042">
        <v>4443.2243479489989</v>
      </c>
    </row>
    <row r="3043" spans="1:2" x14ac:dyDescent="0.2">
      <c r="A3043">
        <v>9166.8337428019149</v>
      </c>
      <c r="B3043">
        <v>4461.0699707097374</v>
      </c>
    </row>
    <row r="3044" spans="1:2" x14ac:dyDescent="0.2">
      <c r="A3044">
        <v>-1857.732662557828</v>
      </c>
      <c r="B3044">
        <v>4462.5201186907943</v>
      </c>
    </row>
    <row r="3045" spans="1:2" x14ac:dyDescent="0.2">
      <c r="A3045">
        <v>-6655.3870318333502</v>
      </c>
      <c r="B3045">
        <v>4462.5481373693037</v>
      </c>
    </row>
    <row r="3046" spans="1:2" x14ac:dyDescent="0.2">
      <c r="A3046">
        <v>1568.4570800111687</v>
      </c>
      <c r="B3046">
        <v>4462.984360349481</v>
      </c>
    </row>
    <row r="3047" spans="1:2" x14ac:dyDescent="0.2">
      <c r="A3047">
        <v>6012.2096547289111</v>
      </c>
      <c r="B3047">
        <v>4472.8468730113236</v>
      </c>
    </row>
    <row r="3048" spans="1:2" x14ac:dyDescent="0.2">
      <c r="A3048">
        <v>-1301.2965479977429</v>
      </c>
      <c r="B3048">
        <v>4473.0216636358527</v>
      </c>
    </row>
    <row r="3049" spans="1:2" x14ac:dyDescent="0.2">
      <c r="A3049">
        <v>11278.053104728257</v>
      </c>
      <c r="B3049">
        <v>4486.4323496166617</v>
      </c>
    </row>
    <row r="3050" spans="1:2" x14ac:dyDescent="0.2">
      <c r="A3050">
        <v>4668.9649257881974</v>
      </c>
      <c r="B3050">
        <v>4489.7357585482823</v>
      </c>
    </row>
    <row r="3051" spans="1:2" x14ac:dyDescent="0.2">
      <c r="A3051">
        <v>-1615.4420099844574</v>
      </c>
      <c r="B3051">
        <v>4489.8724929815799</v>
      </c>
    </row>
    <row r="3052" spans="1:2" x14ac:dyDescent="0.2">
      <c r="A3052">
        <v>7687.6421958199935</v>
      </c>
      <c r="B3052">
        <v>4493.8722344443377</v>
      </c>
    </row>
    <row r="3053" spans="1:2" x14ac:dyDescent="0.2">
      <c r="A3053">
        <v>-1365.6245900842769</v>
      </c>
      <c r="B3053">
        <v>4496.7067017605295</v>
      </c>
    </row>
    <row r="3054" spans="1:2" x14ac:dyDescent="0.2">
      <c r="A3054">
        <v>7763.0665368370828</v>
      </c>
      <c r="B3054">
        <v>4498.0815197536722</v>
      </c>
    </row>
    <row r="3055" spans="1:2" x14ac:dyDescent="0.2">
      <c r="A3055">
        <v>-3746.9676191960461</v>
      </c>
      <c r="B3055">
        <v>4500.0984760262072</v>
      </c>
    </row>
    <row r="3056" spans="1:2" x14ac:dyDescent="0.2">
      <c r="A3056">
        <v>3536.5439957385679</v>
      </c>
      <c r="B3056">
        <v>4504.4106421451725</v>
      </c>
    </row>
    <row r="3057" spans="1:2" x14ac:dyDescent="0.2">
      <c r="A3057">
        <v>7475.5284181783209</v>
      </c>
      <c r="B3057">
        <v>4505.317594390217</v>
      </c>
    </row>
    <row r="3058" spans="1:2" x14ac:dyDescent="0.2">
      <c r="A3058">
        <v>-22254.953237926355</v>
      </c>
      <c r="B3058">
        <v>4507.7058369537117</v>
      </c>
    </row>
    <row r="3059" spans="1:2" x14ac:dyDescent="0.2">
      <c r="A3059">
        <v>7468.0410060113645</v>
      </c>
      <c r="B3059">
        <v>4509.1835469490034</v>
      </c>
    </row>
    <row r="3060" spans="1:2" x14ac:dyDescent="0.2">
      <c r="A3060">
        <v>-709.50076764792902</v>
      </c>
      <c r="B3060">
        <v>4513.2245153973636</v>
      </c>
    </row>
    <row r="3061" spans="1:2" x14ac:dyDescent="0.2">
      <c r="A3061">
        <v>-12397.986648691643</v>
      </c>
      <c r="B3061">
        <v>4518.4148607817478</v>
      </c>
    </row>
    <row r="3062" spans="1:2" x14ac:dyDescent="0.2">
      <c r="A3062">
        <v>18050.40301951865</v>
      </c>
      <c r="B3062">
        <v>4520.56657162396</v>
      </c>
    </row>
    <row r="3063" spans="1:2" x14ac:dyDescent="0.2">
      <c r="A3063">
        <v>5761.5131146966305</v>
      </c>
      <c r="B3063">
        <v>4524.1368043820257</v>
      </c>
    </row>
    <row r="3064" spans="1:2" x14ac:dyDescent="0.2">
      <c r="A3064">
        <v>7075.779077756335</v>
      </c>
      <c r="B3064">
        <v>4529.3085362778365</v>
      </c>
    </row>
    <row r="3065" spans="1:2" x14ac:dyDescent="0.2">
      <c r="A3065">
        <v>493.74239467945881</v>
      </c>
      <c r="B3065">
        <v>4535.9990753816674</v>
      </c>
    </row>
    <row r="3066" spans="1:2" x14ac:dyDescent="0.2">
      <c r="A3066">
        <v>-5555.5028434522683</v>
      </c>
      <c r="B3066">
        <v>4537.3402584384312</v>
      </c>
    </row>
    <row r="3067" spans="1:2" x14ac:dyDescent="0.2">
      <c r="A3067">
        <v>-21496.976365582319</v>
      </c>
      <c r="B3067">
        <v>4539.0061400552804</v>
      </c>
    </row>
    <row r="3068" spans="1:2" x14ac:dyDescent="0.2">
      <c r="A3068">
        <v>4916.6092519853555</v>
      </c>
      <c r="B3068">
        <v>4551.2168684661447</v>
      </c>
    </row>
    <row r="3069" spans="1:2" x14ac:dyDescent="0.2">
      <c r="A3069">
        <v>-11288.734495498356</v>
      </c>
      <c r="B3069">
        <v>4551.4318447377591</v>
      </c>
    </row>
    <row r="3070" spans="1:2" x14ac:dyDescent="0.2">
      <c r="A3070">
        <v>3675.6960231648118</v>
      </c>
      <c r="B3070">
        <v>4554.4413051129959</v>
      </c>
    </row>
    <row r="3071" spans="1:2" x14ac:dyDescent="0.2">
      <c r="A3071">
        <v>2755.6402821142692</v>
      </c>
      <c r="B3071">
        <v>4555.4652949604497</v>
      </c>
    </row>
    <row r="3072" spans="1:2" x14ac:dyDescent="0.2">
      <c r="A3072">
        <v>18058.931572999631</v>
      </c>
      <c r="B3072">
        <v>4562.6020777837257</v>
      </c>
    </row>
    <row r="3073" spans="1:2" x14ac:dyDescent="0.2">
      <c r="A3073">
        <v>3788.7539697425673</v>
      </c>
      <c r="B3073">
        <v>4569.4434750461369</v>
      </c>
    </row>
    <row r="3074" spans="1:2" x14ac:dyDescent="0.2">
      <c r="A3074">
        <v>3754.0575635069399</v>
      </c>
      <c r="B3074">
        <v>4570.9884988063422</v>
      </c>
    </row>
    <row r="3075" spans="1:2" x14ac:dyDescent="0.2">
      <c r="A3075">
        <v>10157.73046786015</v>
      </c>
      <c r="B3075">
        <v>4571.0329830509145</v>
      </c>
    </row>
    <row r="3076" spans="1:2" x14ac:dyDescent="0.2">
      <c r="A3076">
        <v>-4239.9553325692541</v>
      </c>
      <c r="B3076">
        <v>4572.9345716514508</v>
      </c>
    </row>
    <row r="3077" spans="1:2" x14ac:dyDescent="0.2">
      <c r="A3077">
        <v>3517.1896783482516</v>
      </c>
      <c r="B3077">
        <v>4577.4733668889385</v>
      </c>
    </row>
    <row r="3078" spans="1:2" x14ac:dyDescent="0.2">
      <c r="A3078">
        <v>-13095.936354586214</v>
      </c>
      <c r="B3078">
        <v>4578.9604869658942</v>
      </c>
    </row>
    <row r="3079" spans="1:2" x14ac:dyDescent="0.2">
      <c r="A3079">
        <v>-4799.8118226929219</v>
      </c>
      <c r="B3079">
        <v>4582.6713085462106</v>
      </c>
    </row>
    <row r="3080" spans="1:2" x14ac:dyDescent="0.2">
      <c r="A3080">
        <v>9908.517173669039</v>
      </c>
      <c r="B3080">
        <v>4599.0865082485834</v>
      </c>
    </row>
    <row r="3081" spans="1:2" x14ac:dyDescent="0.2">
      <c r="A3081">
        <v>172.18038840428926</v>
      </c>
      <c r="B3081">
        <v>4606.9695106941508</v>
      </c>
    </row>
    <row r="3082" spans="1:2" x14ac:dyDescent="0.2">
      <c r="A3082">
        <v>2569.9710233012156</v>
      </c>
      <c r="B3082">
        <v>4616.0803685026476</v>
      </c>
    </row>
    <row r="3083" spans="1:2" x14ac:dyDescent="0.2">
      <c r="A3083">
        <v>10918.419874456769</v>
      </c>
      <c r="B3083">
        <v>4621.2787435489008</v>
      </c>
    </row>
    <row r="3084" spans="1:2" x14ac:dyDescent="0.2">
      <c r="A3084">
        <v>-2775.6684686999943</v>
      </c>
      <c r="B3084">
        <v>4625.5878285629151</v>
      </c>
    </row>
    <row r="3085" spans="1:2" x14ac:dyDescent="0.2">
      <c r="A3085">
        <v>-7559.6763045027328</v>
      </c>
      <c r="B3085">
        <v>4629.7574526098324</v>
      </c>
    </row>
    <row r="3086" spans="1:2" x14ac:dyDescent="0.2">
      <c r="A3086">
        <v>2646.6197491686908</v>
      </c>
      <c r="B3086">
        <v>4642.8360206143698</v>
      </c>
    </row>
    <row r="3087" spans="1:2" x14ac:dyDescent="0.2">
      <c r="A3087">
        <v>3199.7834389947529</v>
      </c>
      <c r="B3087">
        <v>4646.0324057240505</v>
      </c>
    </row>
    <row r="3088" spans="1:2" x14ac:dyDescent="0.2">
      <c r="A3088">
        <v>6752.1406475846888</v>
      </c>
      <c r="B3088">
        <v>4646.1186475069262</v>
      </c>
    </row>
    <row r="3089" spans="1:2" x14ac:dyDescent="0.2">
      <c r="A3089">
        <v>-5620.3408798431046</v>
      </c>
      <c r="B3089">
        <v>4649.7596830037946</v>
      </c>
    </row>
    <row r="3090" spans="1:2" x14ac:dyDescent="0.2">
      <c r="A3090">
        <v>5925.9976597488712</v>
      </c>
      <c r="B3090">
        <v>4654.1981515171065</v>
      </c>
    </row>
    <row r="3091" spans="1:2" x14ac:dyDescent="0.2">
      <c r="A3091">
        <v>349.86376954859588</v>
      </c>
      <c r="B3091">
        <v>4668.9649257881974</v>
      </c>
    </row>
    <row r="3092" spans="1:2" x14ac:dyDescent="0.2">
      <c r="A3092">
        <v>-4728.9370486186817</v>
      </c>
      <c r="B3092">
        <v>4672.733294809761</v>
      </c>
    </row>
    <row r="3093" spans="1:2" x14ac:dyDescent="0.2">
      <c r="A3093">
        <v>12693.744409690145</v>
      </c>
      <c r="B3093">
        <v>4677.167680639046</v>
      </c>
    </row>
    <row r="3094" spans="1:2" x14ac:dyDescent="0.2">
      <c r="A3094">
        <v>-4898.580018775363</v>
      </c>
      <c r="B3094">
        <v>4678.5905126432481</v>
      </c>
    </row>
    <row r="3095" spans="1:2" x14ac:dyDescent="0.2">
      <c r="A3095">
        <v>6428.3636056278774</v>
      </c>
      <c r="B3095">
        <v>4683.1349243957666</v>
      </c>
    </row>
    <row r="3096" spans="1:2" x14ac:dyDescent="0.2">
      <c r="A3096">
        <v>-6497.47536022024</v>
      </c>
      <c r="B3096">
        <v>4687.4821868160507</v>
      </c>
    </row>
    <row r="3097" spans="1:2" x14ac:dyDescent="0.2">
      <c r="A3097">
        <v>247.99593183709658</v>
      </c>
      <c r="B3097">
        <v>4690.7722637103871</v>
      </c>
    </row>
    <row r="3098" spans="1:2" x14ac:dyDescent="0.2">
      <c r="A3098">
        <v>14396.313402245287</v>
      </c>
      <c r="B3098">
        <v>4696.8647157584783</v>
      </c>
    </row>
    <row r="3099" spans="1:2" x14ac:dyDescent="0.2">
      <c r="A3099">
        <v>-5829.6277345740527</v>
      </c>
      <c r="B3099">
        <v>4699.936272696621</v>
      </c>
    </row>
    <row r="3100" spans="1:2" x14ac:dyDescent="0.2">
      <c r="A3100">
        <v>8377.1095217245747</v>
      </c>
      <c r="B3100">
        <v>4702.8870777899865</v>
      </c>
    </row>
    <row r="3101" spans="1:2" x14ac:dyDescent="0.2">
      <c r="A3101">
        <v>4049.0557974517869</v>
      </c>
      <c r="B3101">
        <v>4715.1626586745842</v>
      </c>
    </row>
    <row r="3102" spans="1:2" x14ac:dyDescent="0.2">
      <c r="A3102">
        <v>11175.587282082648</v>
      </c>
      <c r="B3102">
        <v>4719.4150657361897</v>
      </c>
    </row>
    <row r="3103" spans="1:2" x14ac:dyDescent="0.2">
      <c r="A3103">
        <v>5514.5590922847623</v>
      </c>
      <c r="B3103">
        <v>4728.2891560911958</v>
      </c>
    </row>
    <row r="3104" spans="1:2" x14ac:dyDescent="0.2">
      <c r="A3104">
        <v>5238.9853758093086</v>
      </c>
      <c r="B3104">
        <v>4729.6475686854683</v>
      </c>
    </row>
    <row r="3105" spans="1:2" x14ac:dyDescent="0.2">
      <c r="A3105">
        <v>-4895.5433723055467</v>
      </c>
      <c r="B3105">
        <v>4734.5114429196692</v>
      </c>
    </row>
    <row r="3106" spans="1:2" x14ac:dyDescent="0.2">
      <c r="A3106">
        <v>13835.591849219942</v>
      </c>
      <c r="B3106">
        <v>4738.7293096502253</v>
      </c>
    </row>
    <row r="3107" spans="1:2" x14ac:dyDescent="0.2">
      <c r="A3107">
        <v>12871.125101118494</v>
      </c>
      <c r="B3107">
        <v>4768.9159704788763</v>
      </c>
    </row>
    <row r="3108" spans="1:2" x14ac:dyDescent="0.2">
      <c r="A3108">
        <v>4572.9345716514508</v>
      </c>
      <c r="B3108">
        <v>4783.1344209907111</v>
      </c>
    </row>
    <row r="3109" spans="1:2" x14ac:dyDescent="0.2">
      <c r="A3109">
        <v>-4396.9366847228957</v>
      </c>
      <c r="B3109">
        <v>4788.1660244702944</v>
      </c>
    </row>
    <row r="3110" spans="1:2" x14ac:dyDescent="0.2">
      <c r="A3110">
        <v>-4803.4654079945176</v>
      </c>
      <c r="B3110">
        <v>4788.9310560347949</v>
      </c>
    </row>
    <row r="3111" spans="1:2" x14ac:dyDescent="0.2">
      <c r="A3111">
        <v>2256.891587618622</v>
      </c>
      <c r="B3111">
        <v>4792.4073035196634</v>
      </c>
    </row>
    <row r="3112" spans="1:2" x14ac:dyDescent="0.2">
      <c r="A3112">
        <v>12111.788631480624</v>
      </c>
      <c r="B3112">
        <v>4792.8139016325003</v>
      </c>
    </row>
    <row r="3113" spans="1:2" x14ac:dyDescent="0.2">
      <c r="A3113">
        <v>5615.2562960835348</v>
      </c>
      <c r="B3113">
        <v>4795.9051713782537</v>
      </c>
    </row>
    <row r="3114" spans="1:2" x14ac:dyDescent="0.2">
      <c r="A3114">
        <v>7826.8736023110396</v>
      </c>
      <c r="B3114">
        <v>4798.6110295412946</v>
      </c>
    </row>
    <row r="3115" spans="1:2" x14ac:dyDescent="0.2">
      <c r="A3115">
        <v>-5595.8195222732029</v>
      </c>
      <c r="B3115">
        <v>4803.0394014695485</v>
      </c>
    </row>
    <row r="3116" spans="1:2" x14ac:dyDescent="0.2">
      <c r="A3116">
        <v>1222.1008680541709</v>
      </c>
      <c r="B3116">
        <v>4807.5719693503343</v>
      </c>
    </row>
    <row r="3117" spans="1:2" x14ac:dyDescent="0.2">
      <c r="A3117">
        <v>7502.3370969717507</v>
      </c>
      <c r="B3117">
        <v>4807.791598372336</v>
      </c>
    </row>
    <row r="3118" spans="1:2" x14ac:dyDescent="0.2">
      <c r="A3118">
        <v>6461.8627955741831</v>
      </c>
      <c r="B3118">
        <v>4808.0702221114479</v>
      </c>
    </row>
    <row r="3119" spans="1:2" x14ac:dyDescent="0.2">
      <c r="A3119">
        <v>-6265.148822434363</v>
      </c>
      <c r="B3119">
        <v>4821.2231433235575</v>
      </c>
    </row>
    <row r="3120" spans="1:2" x14ac:dyDescent="0.2">
      <c r="A3120">
        <v>11834.543033626484</v>
      </c>
      <c r="B3120">
        <v>4822.5722125742177</v>
      </c>
    </row>
    <row r="3121" spans="1:2" x14ac:dyDescent="0.2">
      <c r="A3121">
        <v>2841.5050707097398</v>
      </c>
      <c r="B3121">
        <v>4824.8853727058449</v>
      </c>
    </row>
    <row r="3122" spans="1:2" x14ac:dyDescent="0.2">
      <c r="A3122">
        <v>-6560.8067253900226</v>
      </c>
      <c r="B3122">
        <v>4824.9104567862814</v>
      </c>
    </row>
    <row r="3123" spans="1:2" x14ac:dyDescent="0.2">
      <c r="A3123">
        <v>-17425.626237959485</v>
      </c>
      <c r="B3123">
        <v>4826.6576666441979</v>
      </c>
    </row>
    <row r="3124" spans="1:2" x14ac:dyDescent="0.2">
      <c r="A3124">
        <v>14176.140012097603</v>
      </c>
      <c r="B3124">
        <v>4828.9046315746673</v>
      </c>
    </row>
    <row r="3125" spans="1:2" x14ac:dyDescent="0.2">
      <c r="A3125">
        <v>-21667.391705281741</v>
      </c>
      <c r="B3125">
        <v>4840.6007707888202</v>
      </c>
    </row>
    <row r="3126" spans="1:2" x14ac:dyDescent="0.2">
      <c r="A3126">
        <v>11249.719326437451</v>
      </c>
      <c r="B3126">
        <v>4848.0118427588604</v>
      </c>
    </row>
    <row r="3127" spans="1:2" x14ac:dyDescent="0.2">
      <c r="A3127">
        <v>5801.9524921018165</v>
      </c>
      <c r="B3127">
        <v>4849.8082387081231</v>
      </c>
    </row>
    <row r="3128" spans="1:2" x14ac:dyDescent="0.2">
      <c r="A3128">
        <v>2399.7835559679952</v>
      </c>
      <c r="B3128">
        <v>4850.2380352321197</v>
      </c>
    </row>
    <row r="3129" spans="1:2" x14ac:dyDescent="0.2">
      <c r="A3129">
        <v>-11533.147377385874</v>
      </c>
      <c r="B3129">
        <v>4853.1605163870845</v>
      </c>
    </row>
    <row r="3130" spans="1:2" x14ac:dyDescent="0.2">
      <c r="A3130">
        <v>-28061.702460608038</v>
      </c>
      <c r="B3130">
        <v>4855.0419399225793</v>
      </c>
    </row>
    <row r="3131" spans="1:2" x14ac:dyDescent="0.2">
      <c r="A3131">
        <v>-9779.2747172973468</v>
      </c>
      <c r="B3131">
        <v>4856.816036000062</v>
      </c>
    </row>
    <row r="3132" spans="1:2" x14ac:dyDescent="0.2">
      <c r="A3132">
        <v>-3029.8784708175808</v>
      </c>
      <c r="B3132">
        <v>4861.916669480619</v>
      </c>
    </row>
    <row r="3133" spans="1:2" x14ac:dyDescent="0.2">
      <c r="A3133">
        <v>9711.1868994569522</v>
      </c>
      <c r="B3133">
        <v>4866.9087939694873</v>
      </c>
    </row>
    <row r="3134" spans="1:2" x14ac:dyDescent="0.2">
      <c r="A3134">
        <v>-5650.005926225509</v>
      </c>
      <c r="B3134">
        <v>4866.9831970914674</v>
      </c>
    </row>
    <row r="3135" spans="1:2" x14ac:dyDescent="0.2">
      <c r="A3135">
        <v>8785.1929628381622</v>
      </c>
      <c r="B3135">
        <v>4868.3787429398799</v>
      </c>
    </row>
    <row r="3136" spans="1:2" x14ac:dyDescent="0.2">
      <c r="A3136">
        <v>-28276.840139918379</v>
      </c>
      <c r="B3136">
        <v>4879.5789802681538</v>
      </c>
    </row>
    <row r="3137" spans="1:2" x14ac:dyDescent="0.2">
      <c r="A3137">
        <v>23261.863326441555</v>
      </c>
      <c r="B3137">
        <v>4881.3852275811078</v>
      </c>
    </row>
    <row r="3138" spans="1:2" x14ac:dyDescent="0.2">
      <c r="A3138">
        <v>2146.4085115275229</v>
      </c>
      <c r="B3138">
        <v>4892.373199185764</v>
      </c>
    </row>
    <row r="3139" spans="1:2" x14ac:dyDescent="0.2">
      <c r="A3139">
        <v>16079.459428085422</v>
      </c>
      <c r="B3139">
        <v>4900.2438181396574</v>
      </c>
    </row>
    <row r="3140" spans="1:2" x14ac:dyDescent="0.2">
      <c r="A3140">
        <v>9307.7878921639058</v>
      </c>
      <c r="B3140">
        <v>4914.9676551885786</v>
      </c>
    </row>
    <row r="3141" spans="1:2" x14ac:dyDescent="0.2">
      <c r="A3141">
        <v>8661.559276712971</v>
      </c>
      <c r="B3141">
        <v>4916.6092519853555</v>
      </c>
    </row>
    <row r="3142" spans="1:2" x14ac:dyDescent="0.2">
      <c r="A3142">
        <v>-20453.852485657961</v>
      </c>
      <c r="B3142">
        <v>4920.5096575173375</v>
      </c>
    </row>
    <row r="3143" spans="1:2" x14ac:dyDescent="0.2">
      <c r="A3143">
        <v>8003.7602889538975</v>
      </c>
      <c r="B3143">
        <v>4923.9415189472784</v>
      </c>
    </row>
    <row r="3144" spans="1:2" x14ac:dyDescent="0.2">
      <c r="A3144">
        <v>-11768.758615264087</v>
      </c>
      <c r="B3144">
        <v>4926.2177549633197</v>
      </c>
    </row>
    <row r="3145" spans="1:2" x14ac:dyDescent="0.2">
      <c r="A3145">
        <v>3547.3859477238148</v>
      </c>
      <c r="B3145">
        <v>4926.58560427255</v>
      </c>
    </row>
    <row r="3146" spans="1:2" x14ac:dyDescent="0.2">
      <c r="A3146">
        <v>3526.8029405715351</v>
      </c>
      <c r="B3146">
        <v>4926.9189691399515</v>
      </c>
    </row>
    <row r="3147" spans="1:2" x14ac:dyDescent="0.2">
      <c r="A3147">
        <v>13828.676763153548</v>
      </c>
      <c r="B3147">
        <v>4929.5923614138737</v>
      </c>
    </row>
    <row r="3148" spans="1:2" x14ac:dyDescent="0.2">
      <c r="A3148">
        <v>7444.0607949537225</v>
      </c>
      <c r="B3148">
        <v>4935.7099168955319</v>
      </c>
    </row>
    <row r="3149" spans="1:2" x14ac:dyDescent="0.2">
      <c r="A3149">
        <v>3790.3840124730777</v>
      </c>
      <c r="B3149">
        <v>4936.5998652781273</v>
      </c>
    </row>
    <row r="3150" spans="1:2" x14ac:dyDescent="0.2">
      <c r="A3150">
        <v>2907.2396361433784</v>
      </c>
      <c r="B3150">
        <v>4943.1462388779619</v>
      </c>
    </row>
    <row r="3151" spans="1:2" x14ac:dyDescent="0.2">
      <c r="A3151">
        <v>692.71827855799347</v>
      </c>
      <c r="B3151">
        <v>4947.6992673021741</v>
      </c>
    </row>
    <row r="3152" spans="1:2" x14ac:dyDescent="0.2">
      <c r="A3152">
        <v>17879.502675785014</v>
      </c>
      <c r="B3152">
        <v>4955.4245192636154</v>
      </c>
    </row>
    <row r="3153" spans="1:2" x14ac:dyDescent="0.2">
      <c r="A3153">
        <v>-6719.1617301710066</v>
      </c>
      <c r="B3153">
        <v>4955.6669967802009</v>
      </c>
    </row>
    <row r="3154" spans="1:2" x14ac:dyDescent="0.2">
      <c r="A3154">
        <v>-2361.1330693014315</v>
      </c>
      <c r="B3154">
        <v>4994.2398445187573</v>
      </c>
    </row>
    <row r="3155" spans="1:2" x14ac:dyDescent="0.2">
      <c r="A3155">
        <v>18823.209772749717</v>
      </c>
      <c r="B3155">
        <v>4995.0085238608881</v>
      </c>
    </row>
    <row r="3156" spans="1:2" x14ac:dyDescent="0.2">
      <c r="A3156">
        <v>-2813.1759880956961</v>
      </c>
      <c r="B3156">
        <v>4998.1223810679512</v>
      </c>
    </row>
    <row r="3157" spans="1:2" x14ac:dyDescent="0.2">
      <c r="A3157">
        <v>10874.746806163283</v>
      </c>
      <c r="B3157">
        <v>4998.6986777608399</v>
      </c>
    </row>
    <row r="3158" spans="1:2" x14ac:dyDescent="0.2">
      <c r="A3158">
        <v>-18464.745617691427</v>
      </c>
      <c r="B3158">
        <v>5003.3633309618453</v>
      </c>
    </row>
    <row r="3159" spans="1:2" x14ac:dyDescent="0.2">
      <c r="A3159">
        <v>-13502.954267028836</v>
      </c>
      <c r="B3159">
        <v>5004.5549782106536</v>
      </c>
    </row>
    <row r="3160" spans="1:2" x14ac:dyDescent="0.2">
      <c r="A3160">
        <v>-2308.2215702566318</v>
      </c>
      <c r="B3160">
        <v>5012.8006813344546</v>
      </c>
    </row>
    <row r="3161" spans="1:2" x14ac:dyDescent="0.2">
      <c r="A3161">
        <v>-8142.4587592783209</v>
      </c>
      <c r="B3161">
        <v>5015.6088741711574</v>
      </c>
    </row>
    <row r="3162" spans="1:2" x14ac:dyDescent="0.2">
      <c r="A3162">
        <v>8697.6729061749647</v>
      </c>
      <c r="B3162">
        <v>5020.925933835897</v>
      </c>
    </row>
    <row r="3163" spans="1:2" x14ac:dyDescent="0.2">
      <c r="A3163">
        <v>24498.976706532005</v>
      </c>
      <c r="B3163">
        <v>5024.2326595201157</v>
      </c>
    </row>
    <row r="3164" spans="1:2" x14ac:dyDescent="0.2">
      <c r="A3164">
        <v>-418.42689189134398</v>
      </c>
      <c r="B3164">
        <v>5024.4242157190165</v>
      </c>
    </row>
    <row r="3165" spans="1:2" x14ac:dyDescent="0.2">
      <c r="A3165">
        <v>3723.1106828181364</v>
      </c>
      <c r="B3165">
        <v>5026.7701275786094</v>
      </c>
    </row>
    <row r="3166" spans="1:2" x14ac:dyDescent="0.2">
      <c r="A3166">
        <v>-4598.8498200530303</v>
      </c>
      <c r="B3166">
        <v>5029.6985907146009</v>
      </c>
    </row>
    <row r="3167" spans="1:2" x14ac:dyDescent="0.2">
      <c r="A3167">
        <v>1206.5439624252613</v>
      </c>
      <c r="B3167">
        <v>5034.9207635324274</v>
      </c>
    </row>
    <row r="3168" spans="1:2" x14ac:dyDescent="0.2">
      <c r="A3168">
        <v>-368.73045713282772</v>
      </c>
      <c r="B3168">
        <v>5035.7951009703393</v>
      </c>
    </row>
    <row r="3169" spans="1:2" x14ac:dyDescent="0.2">
      <c r="A3169">
        <v>8461.0946035733796</v>
      </c>
      <c r="B3169">
        <v>5041.2461104862159</v>
      </c>
    </row>
    <row r="3170" spans="1:2" x14ac:dyDescent="0.2">
      <c r="A3170">
        <v>10830.708178423229</v>
      </c>
      <c r="B3170">
        <v>5045.2298154027667</v>
      </c>
    </row>
    <row r="3171" spans="1:2" x14ac:dyDescent="0.2">
      <c r="A3171">
        <v>18872.767312971409</v>
      </c>
      <c r="B3171">
        <v>5052.0581109675113</v>
      </c>
    </row>
    <row r="3172" spans="1:2" x14ac:dyDescent="0.2">
      <c r="A3172">
        <v>1641.7459110018681</v>
      </c>
      <c r="B3172">
        <v>5057.5196807809116</v>
      </c>
    </row>
    <row r="3173" spans="1:2" x14ac:dyDescent="0.2">
      <c r="A3173">
        <v>23880.450015163922</v>
      </c>
      <c r="B3173">
        <v>5058.0554919042625</v>
      </c>
    </row>
    <row r="3174" spans="1:2" x14ac:dyDescent="0.2">
      <c r="A3174">
        <v>18965.799229954195</v>
      </c>
      <c r="B3174">
        <v>5059.2684717094526</v>
      </c>
    </row>
    <row r="3175" spans="1:2" x14ac:dyDescent="0.2">
      <c r="A3175">
        <v>-10847.177199406724</v>
      </c>
      <c r="B3175">
        <v>5061.4788292085868</v>
      </c>
    </row>
    <row r="3176" spans="1:2" x14ac:dyDescent="0.2">
      <c r="A3176">
        <v>-2268.2736987979733</v>
      </c>
      <c r="B3176">
        <v>5061.7739945409849</v>
      </c>
    </row>
    <row r="3177" spans="1:2" x14ac:dyDescent="0.2">
      <c r="A3177">
        <v>7231.8825545350555</v>
      </c>
      <c r="B3177">
        <v>5064.5396222136333</v>
      </c>
    </row>
    <row r="3178" spans="1:2" x14ac:dyDescent="0.2">
      <c r="A3178">
        <v>-1844.9137815347058</v>
      </c>
      <c r="B3178">
        <v>5066.1336548798135</v>
      </c>
    </row>
    <row r="3179" spans="1:2" x14ac:dyDescent="0.2">
      <c r="A3179">
        <v>-3147.4168013782182</v>
      </c>
      <c r="B3179">
        <v>5072.8673899081914</v>
      </c>
    </row>
    <row r="3180" spans="1:2" x14ac:dyDescent="0.2">
      <c r="A3180">
        <v>-5500.7944693702157</v>
      </c>
      <c r="B3180">
        <v>5081.0572737283655</v>
      </c>
    </row>
    <row r="3181" spans="1:2" x14ac:dyDescent="0.2">
      <c r="A3181">
        <v>9002.0571788475499</v>
      </c>
      <c r="B3181">
        <v>5082.4865719876252</v>
      </c>
    </row>
    <row r="3182" spans="1:2" x14ac:dyDescent="0.2">
      <c r="A3182">
        <v>-5470.4168607378961</v>
      </c>
      <c r="B3182">
        <v>5091.2242811503529</v>
      </c>
    </row>
    <row r="3183" spans="1:2" x14ac:dyDescent="0.2">
      <c r="A3183">
        <v>7756.146820267837</v>
      </c>
      <c r="B3183">
        <v>5096.6902757090866</v>
      </c>
    </row>
    <row r="3184" spans="1:2" x14ac:dyDescent="0.2">
      <c r="A3184">
        <v>-1388.3800601420226</v>
      </c>
      <c r="B3184">
        <v>5110.4396796259971</v>
      </c>
    </row>
    <row r="3185" spans="1:2" x14ac:dyDescent="0.2">
      <c r="A3185">
        <v>-907.0898540923954</v>
      </c>
      <c r="B3185">
        <v>5111.0574799236783</v>
      </c>
    </row>
    <row r="3186" spans="1:2" x14ac:dyDescent="0.2">
      <c r="A3186">
        <v>4892.373199185764</v>
      </c>
      <c r="B3186">
        <v>5114.1666935910471</v>
      </c>
    </row>
    <row r="3187" spans="1:2" x14ac:dyDescent="0.2">
      <c r="A3187">
        <v>6178.4382697959663</v>
      </c>
      <c r="B3187">
        <v>5132.9757699250476</v>
      </c>
    </row>
    <row r="3188" spans="1:2" x14ac:dyDescent="0.2">
      <c r="A3188">
        <v>-9575.513921391801</v>
      </c>
      <c r="B3188">
        <v>5135.2759253204567</v>
      </c>
    </row>
    <row r="3189" spans="1:2" x14ac:dyDescent="0.2">
      <c r="A3189">
        <v>-504.45958805026021</v>
      </c>
      <c r="B3189">
        <v>5139.8216611913522</v>
      </c>
    </row>
    <row r="3190" spans="1:2" x14ac:dyDescent="0.2">
      <c r="A3190">
        <v>-15785.296235887508</v>
      </c>
      <c r="B3190">
        <v>5141.4611684385454</v>
      </c>
    </row>
    <row r="3191" spans="1:2" x14ac:dyDescent="0.2">
      <c r="A3191">
        <v>-4565.9040353854652</v>
      </c>
      <c r="B3191">
        <v>5150.3165839575231</v>
      </c>
    </row>
    <row r="3192" spans="1:2" x14ac:dyDescent="0.2">
      <c r="A3192">
        <v>1714.3489549987717</v>
      </c>
      <c r="B3192">
        <v>5157.8954792957811</v>
      </c>
    </row>
    <row r="3193" spans="1:2" x14ac:dyDescent="0.2">
      <c r="A3193">
        <v>6349.7827370046871</v>
      </c>
      <c r="B3193">
        <v>5163.1747600443196</v>
      </c>
    </row>
    <row r="3194" spans="1:2" x14ac:dyDescent="0.2">
      <c r="A3194">
        <v>7107.2205330032739</v>
      </c>
      <c r="B3194">
        <v>5168.5666628107138</v>
      </c>
    </row>
    <row r="3195" spans="1:2" x14ac:dyDescent="0.2">
      <c r="A3195">
        <v>3060.3129127139691</v>
      </c>
      <c r="B3195">
        <v>5175.6943380670273</v>
      </c>
    </row>
    <row r="3196" spans="1:2" x14ac:dyDescent="0.2">
      <c r="A3196">
        <v>3595.4964778416324</v>
      </c>
      <c r="B3196">
        <v>5182.1741271341743</v>
      </c>
    </row>
    <row r="3197" spans="1:2" x14ac:dyDescent="0.2">
      <c r="A3197">
        <v>-9479.2377865860763</v>
      </c>
      <c r="B3197">
        <v>5186.8837901919032</v>
      </c>
    </row>
    <row r="3198" spans="1:2" x14ac:dyDescent="0.2">
      <c r="A3198">
        <v>11718.713590258005</v>
      </c>
      <c r="B3198">
        <v>5187.5303248282289</v>
      </c>
    </row>
    <row r="3199" spans="1:2" x14ac:dyDescent="0.2">
      <c r="A3199">
        <v>-8571.01183910697</v>
      </c>
      <c r="B3199">
        <v>5193.2013131823624</v>
      </c>
    </row>
    <row r="3200" spans="1:2" x14ac:dyDescent="0.2">
      <c r="A3200">
        <v>9433.7146335479338</v>
      </c>
      <c r="B3200">
        <v>5198.2713021833333</v>
      </c>
    </row>
    <row r="3201" spans="1:2" x14ac:dyDescent="0.2">
      <c r="A3201">
        <v>12639.854717093287</v>
      </c>
      <c r="B3201">
        <v>5209.6653465913842</v>
      </c>
    </row>
    <row r="3202" spans="1:2" x14ac:dyDescent="0.2">
      <c r="A3202">
        <v>236.56894817959983</v>
      </c>
      <c r="B3202">
        <v>5214.6164074867265</v>
      </c>
    </row>
    <row r="3203" spans="1:2" x14ac:dyDescent="0.2">
      <c r="A3203">
        <v>-10314.57645005401</v>
      </c>
      <c r="B3203">
        <v>5214.7313272221363</v>
      </c>
    </row>
    <row r="3204" spans="1:2" x14ac:dyDescent="0.2">
      <c r="A3204">
        <v>1882.547136634661</v>
      </c>
      <c r="B3204">
        <v>5214.9271312484634</v>
      </c>
    </row>
    <row r="3205" spans="1:2" x14ac:dyDescent="0.2">
      <c r="A3205">
        <v>11875.503863398306</v>
      </c>
      <c r="B3205">
        <v>5215.4481573590019</v>
      </c>
    </row>
    <row r="3206" spans="1:2" x14ac:dyDescent="0.2">
      <c r="A3206">
        <v>12163.529479783028</v>
      </c>
      <c r="B3206">
        <v>5219.6925034367014</v>
      </c>
    </row>
    <row r="3207" spans="1:2" x14ac:dyDescent="0.2">
      <c r="A3207">
        <v>9958.4130496818398</v>
      </c>
      <c r="B3207">
        <v>5236.7002971660986</v>
      </c>
    </row>
    <row r="3208" spans="1:2" x14ac:dyDescent="0.2">
      <c r="A3208">
        <v>-4400.6064405181096</v>
      </c>
      <c r="B3208">
        <v>5237.928079645877</v>
      </c>
    </row>
    <row r="3209" spans="1:2" x14ac:dyDescent="0.2">
      <c r="A3209">
        <v>1332.1347334947204</v>
      </c>
      <c r="B3209">
        <v>5238.4352146290476</v>
      </c>
    </row>
    <row r="3210" spans="1:2" x14ac:dyDescent="0.2">
      <c r="A3210">
        <v>-2459.3093090870534</v>
      </c>
      <c r="B3210">
        <v>5238.9853758093086</v>
      </c>
    </row>
    <row r="3211" spans="1:2" x14ac:dyDescent="0.2">
      <c r="A3211">
        <v>2063.6208753596293</v>
      </c>
      <c r="B3211">
        <v>5243.9270970930229</v>
      </c>
    </row>
    <row r="3212" spans="1:2" x14ac:dyDescent="0.2">
      <c r="A3212">
        <v>-18329.618336913409</v>
      </c>
      <c r="B3212">
        <v>5251.1946973376325</v>
      </c>
    </row>
    <row r="3213" spans="1:2" x14ac:dyDescent="0.2">
      <c r="A3213">
        <v>1825.8600636919728</v>
      </c>
      <c r="B3213">
        <v>5252.5743969824398</v>
      </c>
    </row>
    <row r="3214" spans="1:2" x14ac:dyDescent="0.2">
      <c r="A3214">
        <v>-9085.427876747679</v>
      </c>
      <c r="B3214">
        <v>5253.1764692888537</v>
      </c>
    </row>
    <row r="3215" spans="1:2" x14ac:dyDescent="0.2">
      <c r="A3215">
        <v>1117.3273790817766</v>
      </c>
      <c r="B3215">
        <v>5254.5354873597971</v>
      </c>
    </row>
    <row r="3216" spans="1:2" x14ac:dyDescent="0.2">
      <c r="A3216">
        <v>-1182.3282830906537</v>
      </c>
      <c r="B3216">
        <v>5256.3673907956691</v>
      </c>
    </row>
    <row r="3217" spans="1:2" x14ac:dyDescent="0.2">
      <c r="A3217">
        <v>-114.58659186324803</v>
      </c>
      <c r="B3217">
        <v>5257.7988906935789</v>
      </c>
    </row>
    <row r="3218" spans="1:2" x14ac:dyDescent="0.2">
      <c r="A3218">
        <v>-23871.564110616979</v>
      </c>
      <c r="B3218">
        <v>5259.6161132569832</v>
      </c>
    </row>
    <row r="3219" spans="1:2" x14ac:dyDescent="0.2">
      <c r="A3219">
        <v>-7606.8341951977345</v>
      </c>
      <c r="B3219">
        <v>5260.1828037273663</v>
      </c>
    </row>
    <row r="3220" spans="1:2" x14ac:dyDescent="0.2">
      <c r="A3220">
        <v>6174.7605714405654</v>
      </c>
      <c r="B3220">
        <v>5262.160134066653</v>
      </c>
    </row>
    <row r="3221" spans="1:2" x14ac:dyDescent="0.2">
      <c r="A3221">
        <v>-13642.164640929783</v>
      </c>
      <c r="B3221">
        <v>5266.1547085571801</v>
      </c>
    </row>
    <row r="3222" spans="1:2" x14ac:dyDescent="0.2">
      <c r="A3222">
        <v>3935.5728721992637</v>
      </c>
      <c r="B3222">
        <v>5270.3896122986625</v>
      </c>
    </row>
    <row r="3223" spans="1:2" x14ac:dyDescent="0.2">
      <c r="A3223">
        <v>6564.5645775514568</v>
      </c>
      <c r="B3223">
        <v>5273.691619571764</v>
      </c>
    </row>
    <row r="3224" spans="1:2" x14ac:dyDescent="0.2">
      <c r="A3224">
        <v>15129.306945176242</v>
      </c>
      <c r="B3224">
        <v>5275.8852764273761</v>
      </c>
    </row>
    <row r="3225" spans="1:2" x14ac:dyDescent="0.2">
      <c r="A3225">
        <v>1508.0443580385181</v>
      </c>
      <c r="B3225">
        <v>5279.5867955839494</v>
      </c>
    </row>
    <row r="3226" spans="1:2" x14ac:dyDescent="0.2">
      <c r="A3226">
        <v>6550.2769882485009</v>
      </c>
      <c r="B3226">
        <v>5293.3115985396435</v>
      </c>
    </row>
    <row r="3227" spans="1:2" x14ac:dyDescent="0.2">
      <c r="A3227">
        <v>14017.272058442439</v>
      </c>
      <c r="B3227">
        <v>5294.444071757287</v>
      </c>
    </row>
    <row r="3228" spans="1:2" x14ac:dyDescent="0.2">
      <c r="A3228">
        <v>-4200.7600198587752</v>
      </c>
      <c r="B3228">
        <v>5304.6997145566565</v>
      </c>
    </row>
    <row r="3229" spans="1:2" x14ac:dyDescent="0.2">
      <c r="A3229">
        <v>18497.856562754198</v>
      </c>
      <c r="B3229">
        <v>5328.834112584067</v>
      </c>
    </row>
    <row r="3230" spans="1:2" x14ac:dyDescent="0.2">
      <c r="A3230">
        <v>22177.866817896487</v>
      </c>
      <c r="B3230">
        <v>5336.1744109371502</v>
      </c>
    </row>
    <row r="3231" spans="1:2" x14ac:dyDescent="0.2">
      <c r="A3231">
        <v>-2929.0407105778577</v>
      </c>
      <c r="B3231">
        <v>5343.5046556439484</v>
      </c>
    </row>
    <row r="3232" spans="1:2" x14ac:dyDescent="0.2">
      <c r="A3232">
        <v>12445.11168276699</v>
      </c>
      <c r="B3232">
        <v>5344.2218995069852</v>
      </c>
    </row>
    <row r="3233" spans="1:2" x14ac:dyDescent="0.2">
      <c r="A3233">
        <v>9404.142996593233</v>
      </c>
      <c r="B3233">
        <v>5345.4794075908139</v>
      </c>
    </row>
    <row r="3234" spans="1:2" x14ac:dyDescent="0.2">
      <c r="A3234">
        <v>-9874.7225073068985</v>
      </c>
      <c r="B3234">
        <v>5357.2464655902877</v>
      </c>
    </row>
    <row r="3235" spans="1:2" x14ac:dyDescent="0.2">
      <c r="A3235">
        <v>10608.859488202463</v>
      </c>
      <c r="B3235">
        <v>5360.0408050828264</v>
      </c>
    </row>
    <row r="3236" spans="1:2" x14ac:dyDescent="0.2">
      <c r="A3236">
        <v>-8007.7353758902464</v>
      </c>
      <c r="B3236">
        <v>5362.4790523959091</v>
      </c>
    </row>
    <row r="3237" spans="1:2" x14ac:dyDescent="0.2">
      <c r="A3237">
        <v>10831.953118648118</v>
      </c>
      <c r="B3237">
        <v>5383.1595805843244</v>
      </c>
    </row>
    <row r="3238" spans="1:2" x14ac:dyDescent="0.2">
      <c r="A3238">
        <v>-6901.244460703223</v>
      </c>
      <c r="B3238">
        <v>5384.9138720122864</v>
      </c>
    </row>
    <row r="3239" spans="1:2" x14ac:dyDescent="0.2">
      <c r="A3239">
        <v>16766.618638905464</v>
      </c>
      <c r="B3239">
        <v>5388.8881576693384</v>
      </c>
    </row>
    <row r="3240" spans="1:2" x14ac:dyDescent="0.2">
      <c r="A3240">
        <v>9977.5335583541309</v>
      </c>
      <c r="B3240">
        <v>5394.1763801685302</v>
      </c>
    </row>
    <row r="3241" spans="1:2" x14ac:dyDescent="0.2">
      <c r="A3241">
        <v>12111.664925629331</v>
      </c>
      <c r="B3241">
        <v>5394.1865504948655</v>
      </c>
    </row>
    <row r="3242" spans="1:2" x14ac:dyDescent="0.2">
      <c r="A3242">
        <v>10574.059230893181</v>
      </c>
      <c r="B3242">
        <v>5400.557544243522</v>
      </c>
    </row>
    <row r="3243" spans="1:2" x14ac:dyDescent="0.2">
      <c r="A3243">
        <v>-10338.103019273432</v>
      </c>
      <c r="B3243">
        <v>5407.3208732928033</v>
      </c>
    </row>
    <row r="3244" spans="1:2" x14ac:dyDescent="0.2">
      <c r="A3244">
        <v>6274.9699452294735</v>
      </c>
      <c r="B3244">
        <v>5413.3015406050836</v>
      </c>
    </row>
    <row r="3245" spans="1:2" x14ac:dyDescent="0.2">
      <c r="A3245">
        <v>-363.28472956130281</v>
      </c>
      <c r="B3245">
        <v>5422.3953432913113</v>
      </c>
    </row>
    <row r="3246" spans="1:2" x14ac:dyDescent="0.2">
      <c r="A3246">
        <v>-4689.21612939646</v>
      </c>
      <c r="B3246">
        <v>5423.3273652962525</v>
      </c>
    </row>
    <row r="3247" spans="1:2" x14ac:dyDescent="0.2">
      <c r="A3247">
        <v>-8123.5412833643495</v>
      </c>
      <c r="B3247">
        <v>5423.6484281454177</v>
      </c>
    </row>
    <row r="3248" spans="1:2" x14ac:dyDescent="0.2">
      <c r="A3248">
        <v>5139.8216611913522</v>
      </c>
      <c r="B3248">
        <v>5433.7551746974059</v>
      </c>
    </row>
    <row r="3249" spans="1:2" x14ac:dyDescent="0.2">
      <c r="A3249">
        <v>4012.8623878334765</v>
      </c>
      <c r="B3249">
        <v>5439.8763973022287</v>
      </c>
    </row>
    <row r="3250" spans="1:2" x14ac:dyDescent="0.2">
      <c r="A3250">
        <v>-7959.9315604157018</v>
      </c>
      <c r="B3250">
        <v>5441.7597443473933</v>
      </c>
    </row>
    <row r="3251" spans="1:2" x14ac:dyDescent="0.2">
      <c r="A3251">
        <v>5750.8267793335253</v>
      </c>
      <c r="B3251">
        <v>5454.5476110975142</v>
      </c>
    </row>
    <row r="3252" spans="1:2" x14ac:dyDescent="0.2">
      <c r="A3252">
        <v>-298.25033975971746</v>
      </c>
      <c r="B3252">
        <v>5462.1283958099666</v>
      </c>
    </row>
    <row r="3253" spans="1:2" x14ac:dyDescent="0.2">
      <c r="A3253">
        <v>12305.820437225833</v>
      </c>
      <c r="B3253">
        <v>5464.0641212448827</v>
      </c>
    </row>
    <row r="3254" spans="1:2" x14ac:dyDescent="0.2">
      <c r="A3254">
        <v>811.98775788658531</v>
      </c>
      <c r="B3254">
        <v>5474.7790914128418</v>
      </c>
    </row>
    <row r="3255" spans="1:2" x14ac:dyDescent="0.2">
      <c r="A3255">
        <v>-8399.6395609641622</v>
      </c>
      <c r="B3255">
        <v>5474.9298967029317</v>
      </c>
    </row>
    <row r="3256" spans="1:2" x14ac:dyDescent="0.2">
      <c r="A3256">
        <v>22825.910943980562</v>
      </c>
      <c r="B3256">
        <v>5478.0433860764024</v>
      </c>
    </row>
    <row r="3257" spans="1:2" x14ac:dyDescent="0.2">
      <c r="A3257">
        <v>7358.4832710189221</v>
      </c>
      <c r="B3257">
        <v>5478.6742285251385</v>
      </c>
    </row>
    <row r="3258" spans="1:2" x14ac:dyDescent="0.2">
      <c r="A3258">
        <v>-2547.5351212777023</v>
      </c>
      <c r="B3258">
        <v>5484.4593940686027</v>
      </c>
    </row>
    <row r="3259" spans="1:2" x14ac:dyDescent="0.2">
      <c r="A3259">
        <v>-2773.6723702454474</v>
      </c>
      <c r="B3259">
        <v>5489.0171364896814</v>
      </c>
    </row>
    <row r="3260" spans="1:2" x14ac:dyDescent="0.2">
      <c r="A3260">
        <v>11699.537540042045</v>
      </c>
      <c r="B3260">
        <v>5489.944437061029</v>
      </c>
    </row>
    <row r="3261" spans="1:2" x14ac:dyDescent="0.2">
      <c r="A3261">
        <v>-34994.126936766726</v>
      </c>
      <c r="B3261">
        <v>5496.8190142550739</v>
      </c>
    </row>
    <row r="3262" spans="1:2" x14ac:dyDescent="0.2">
      <c r="A3262">
        <v>7766.434183646692</v>
      </c>
      <c r="B3262">
        <v>5514.5590922847623</v>
      </c>
    </row>
    <row r="3263" spans="1:2" x14ac:dyDescent="0.2">
      <c r="A3263">
        <v>6859.8746317643963</v>
      </c>
      <c r="B3263">
        <v>5514.5788672570488</v>
      </c>
    </row>
    <row r="3264" spans="1:2" x14ac:dyDescent="0.2">
      <c r="A3264">
        <v>507.14658532559406</v>
      </c>
      <c r="B3264">
        <v>5518.0137224748614</v>
      </c>
    </row>
    <row r="3265" spans="1:2" x14ac:dyDescent="0.2">
      <c r="A3265">
        <v>2581.003793279815</v>
      </c>
      <c r="B3265">
        <v>5518.0571376580629</v>
      </c>
    </row>
    <row r="3266" spans="1:2" x14ac:dyDescent="0.2">
      <c r="A3266">
        <v>8990.0294755463256</v>
      </c>
      <c r="B3266">
        <v>5533.5263378823875</v>
      </c>
    </row>
    <row r="3267" spans="1:2" x14ac:dyDescent="0.2">
      <c r="A3267">
        <v>-8593.2537700576067</v>
      </c>
      <c r="B3267">
        <v>5534.91207112759</v>
      </c>
    </row>
    <row r="3268" spans="1:2" x14ac:dyDescent="0.2">
      <c r="A3268">
        <v>7730.7567660426139</v>
      </c>
      <c r="B3268">
        <v>5547.8450709142489</v>
      </c>
    </row>
    <row r="3269" spans="1:2" x14ac:dyDescent="0.2">
      <c r="A3269">
        <v>1501.7608969882131</v>
      </c>
      <c r="B3269">
        <v>5558.9938260579656</v>
      </c>
    </row>
    <row r="3270" spans="1:2" x14ac:dyDescent="0.2">
      <c r="A3270">
        <v>2450.6831817174389</v>
      </c>
      <c r="B3270">
        <v>5559.1371544868744</v>
      </c>
    </row>
    <row r="3271" spans="1:2" x14ac:dyDescent="0.2">
      <c r="A3271">
        <v>468.76706346526043</v>
      </c>
      <c r="B3271">
        <v>5561.2651880250196</v>
      </c>
    </row>
    <row r="3272" spans="1:2" x14ac:dyDescent="0.2">
      <c r="A3272">
        <v>-1647.4064312097616</v>
      </c>
      <c r="B3272">
        <v>5576.0477761525253</v>
      </c>
    </row>
    <row r="3273" spans="1:2" x14ac:dyDescent="0.2">
      <c r="A3273">
        <v>8525.3895537036296</v>
      </c>
      <c r="B3273">
        <v>5577.5036050065537</v>
      </c>
    </row>
    <row r="3274" spans="1:2" x14ac:dyDescent="0.2">
      <c r="A3274">
        <v>9082.2464501459617</v>
      </c>
      <c r="B3274">
        <v>5581.8015085286461</v>
      </c>
    </row>
    <row r="3275" spans="1:2" x14ac:dyDescent="0.2">
      <c r="A3275">
        <v>11267.116093453398</v>
      </c>
      <c r="B3275">
        <v>5582.3413524819771</v>
      </c>
    </row>
    <row r="3276" spans="1:2" x14ac:dyDescent="0.2">
      <c r="A3276">
        <v>-8200.0852496523876</v>
      </c>
      <c r="B3276">
        <v>5583.893792928051</v>
      </c>
    </row>
    <row r="3277" spans="1:2" x14ac:dyDescent="0.2">
      <c r="A3277">
        <v>24865.268715236685</v>
      </c>
      <c r="B3277">
        <v>5591.5938515761518</v>
      </c>
    </row>
    <row r="3278" spans="1:2" x14ac:dyDescent="0.2">
      <c r="A3278">
        <v>-3156.8201055013342</v>
      </c>
      <c r="B3278">
        <v>5592.8341649557406</v>
      </c>
    </row>
    <row r="3279" spans="1:2" x14ac:dyDescent="0.2">
      <c r="A3279">
        <v>7132.1350839893566</v>
      </c>
      <c r="B3279">
        <v>5604.3587808453885</v>
      </c>
    </row>
    <row r="3280" spans="1:2" x14ac:dyDescent="0.2">
      <c r="A3280">
        <v>4616.0803685026476</v>
      </c>
      <c r="B3280">
        <v>5614.4849294972373</v>
      </c>
    </row>
    <row r="3281" spans="1:2" x14ac:dyDescent="0.2">
      <c r="A3281">
        <v>-5345.8777557373396</v>
      </c>
      <c r="B3281">
        <v>5615.2562960835348</v>
      </c>
    </row>
    <row r="3282" spans="1:2" x14ac:dyDescent="0.2">
      <c r="A3282">
        <v>10329.104953620932</v>
      </c>
      <c r="B3282">
        <v>5624.6441232723009</v>
      </c>
    </row>
    <row r="3283" spans="1:2" x14ac:dyDescent="0.2">
      <c r="A3283">
        <v>-9905.4071648629324</v>
      </c>
      <c r="B3283">
        <v>5629.1741586383723</v>
      </c>
    </row>
    <row r="3284" spans="1:2" x14ac:dyDescent="0.2">
      <c r="A3284">
        <v>18417.176833029662</v>
      </c>
      <c r="B3284">
        <v>5629.8916486333474</v>
      </c>
    </row>
    <row r="3285" spans="1:2" x14ac:dyDescent="0.2">
      <c r="A3285">
        <v>5514.5788672570488</v>
      </c>
      <c r="B3285">
        <v>5630.876085544005</v>
      </c>
    </row>
    <row r="3286" spans="1:2" x14ac:dyDescent="0.2">
      <c r="A3286">
        <v>10484.124745970272</v>
      </c>
      <c r="B3286">
        <v>5640.1594418531167</v>
      </c>
    </row>
    <row r="3287" spans="1:2" x14ac:dyDescent="0.2">
      <c r="A3287">
        <v>-7576.063897037995</v>
      </c>
      <c r="B3287">
        <v>5643.1124104265764</v>
      </c>
    </row>
    <row r="3288" spans="1:2" x14ac:dyDescent="0.2">
      <c r="A3288">
        <v>-14168.299308190006</v>
      </c>
      <c r="B3288">
        <v>5646.1678020591498</v>
      </c>
    </row>
    <row r="3289" spans="1:2" x14ac:dyDescent="0.2">
      <c r="A3289">
        <v>7567.3300931080594</v>
      </c>
      <c r="B3289">
        <v>5646.3929838891199</v>
      </c>
    </row>
    <row r="3290" spans="1:2" x14ac:dyDescent="0.2">
      <c r="A3290">
        <v>-1118.8999772006646</v>
      </c>
      <c r="B3290">
        <v>5650.1927146099042</v>
      </c>
    </row>
    <row r="3291" spans="1:2" x14ac:dyDescent="0.2">
      <c r="A3291">
        <v>9638.2883927579678</v>
      </c>
      <c r="B3291">
        <v>5653.4369307708112</v>
      </c>
    </row>
    <row r="3292" spans="1:2" x14ac:dyDescent="0.2">
      <c r="A3292">
        <v>27346.065000808594</v>
      </c>
      <c r="B3292">
        <v>5653.7390219432418</v>
      </c>
    </row>
    <row r="3293" spans="1:2" x14ac:dyDescent="0.2">
      <c r="A3293">
        <v>531.49415207235143</v>
      </c>
      <c r="B3293">
        <v>5657.3277259243187</v>
      </c>
    </row>
    <row r="3294" spans="1:2" x14ac:dyDescent="0.2">
      <c r="A3294">
        <v>4162.280192440463</v>
      </c>
      <c r="B3294">
        <v>5660.1997177689336</v>
      </c>
    </row>
    <row r="3295" spans="1:2" x14ac:dyDescent="0.2">
      <c r="A3295">
        <v>-7404.517208480509</v>
      </c>
      <c r="B3295">
        <v>5662.3937117210298</v>
      </c>
    </row>
    <row r="3296" spans="1:2" x14ac:dyDescent="0.2">
      <c r="A3296">
        <v>-3373.6380819249316</v>
      </c>
      <c r="B3296">
        <v>5664.1079919962503</v>
      </c>
    </row>
    <row r="3297" spans="1:2" x14ac:dyDescent="0.2">
      <c r="A3297">
        <v>-10563.729835478356</v>
      </c>
      <c r="B3297">
        <v>5674.7839994871465</v>
      </c>
    </row>
    <row r="3298" spans="1:2" x14ac:dyDescent="0.2">
      <c r="A3298">
        <v>-7625.9697373710369</v>
      </c>
      <c r="B3298">
        <v>5677.8269569941622</v>
      </c>
    </row>
    <row r="3299" spans="1:2" x14ac:dyDescent="0.2">
      <c r="A3299">
        <v>-31500.281047386175</v>
      </c>
      <c r="B3299">
        <v>5692.5098152754654</v>
      </c>
    </row>
    <row r="3300" spans="1:2" x14ac:dyDescent="0.2">
      <c r="A3300">
        <v>5182.1741271341743</v>
      </c>
      <c r="B3300">
        <v>5696.2377506375487</v>
      </c>
    </row>
    <row r="3301" spans="1:2" x14ac:dyDescent="0.2">
      <c r="A3301">
        <v>12244.120011036124</v>
      </c>
      <c r="B3301">
        <v>5700.6602553047996</v>
      </c>
    </row>
    <row r="3302" spans="1:2" x14ac:dyDescent="0.2">
      <c r="A3302">
        <v>-15785.109352756292</v>
      </c>
      <c r="B3302">
        <v>5709.2233395088697</v>
      </c>
    </row>
    <row r="3303" spans="1:2" x14ac:dyDescent="0.2">
      <c r="A3303">
        <v>2773.4270254308358</v>
      </c>
      <c r="B3303">
        <v>5715.4932089237846</v>
      </c>
    </row>
    <row r="3304" spans="1:2" x14ac:dyDescent="0.2">
      <c r="A3304">
        <v>4268.7490968095371</v>
      </c>
      <c r="B3304">
        <v>5731.0164912237087</v>
      </c>
    </row>
    <row r="3305" spans="1:2" x14ac:dyDescent="0.2">
      <c r="A3305">
        <v>-5758.7042627339833</v>
      </c>
      <c r="B3305">
        <v>5737.9003494631033</v>
      </c>
    </row>
    <row r="3306" spans="1:2" x14ac:dyDescent="0.2">
      <c r="A3306">
        <v>-4247.8530613346375</v>
      </c>
      <c r="B3306">
        <v>5744.7051799637266</v>
      </c>
    </row>
    <row r="3307" spans="1:2" x14ac:dyDescent="0.2">
      <c r="A3307">
        <v>55.490076542366296</v>
      </c>
      <c r="B3307">
        <v>5750.8267793335253</v>
      </c>
    </row>
    <row r="3308" spans="1:2" x14ac:dyDescent="0.2">
      <c r="A3308">
        <v>-19746.186288601719</v>
      </c>
      <c r="B3308">
        <v>5761.5131146966305</v>
      </c>
    </row>
    <row r="3309" spans="1:2" x14ac:dyDescent="0.2">
      <c r="A3309">
        <v>10227.248324354354</v>
      </c>
      <c r="B3309">
        <v>5777.9378614231246</v>
      </c>
    </row>
    <row r="3310" spans="1:2" x14ac:dyDescent="0.2">
      <c r="A3310">
        <v>6345.3937902311736</v>
      </c>
      <c r="B3310">
        <v>5780.1786868428753</v>
      </c>
    </row>
    <row r="3311" spans="1:2" x14ac:dyDescent="0.2">
      <c r="A3311">
        <v>1348.8574284868373</v>
      </c>
      <c r="B3311">
        <v>5783.0043769408367</v>
      </c>
    </row>
    <row r="3312" spans="1:2" x14ac:dyDescent="0.2">
      <c r="A3312">
        <v>2215.8618783524435</v>
      </c>
      <c r="B3312">
        <v>5783.7635430247465</v>
      </c>
    </row>
    <row r="3313" spans="1:2" x14ac:dyDescent="0.2">
      <c r="A3313">
        <v>-3849.8720134189061</v>
      </c>
      <c r="B3313">
        <v>5789.124214185169</v>
      </c>
    </row>
    <row r="3314" spans="1:2" x14ac:dyDescent="0.2">
      <c r="A3314">
        <v>1906.2205759334611</v>
      </c>
      <c r="B3314">
        <v>5789.7210010620183</v>
      </c>
    </row>
    <row r="3315" spans="1:2" x14ac:dyDescent="0.2">
      <c r="A3315">
        <v>-22532.79658284242</v>
      </c>
      <c r="B3315">
        <v>5797.1889292092528</v>
      </c>
    </row>
    <row r="3316" spans="1:2" x14ac:dyDescent="0.2">
      <c r="A3316">
        <v>-2191.7595379294944</v>
      </c>
      <c r="B3316">
        <v>5801.9524921018165</v>
      </c>
    </row>
    <row r="3317" spans="1:2" x14ac:dyDescent="0.2">
      <c r="A3317">
        <v>-5760.0019934001903</v>
      </c>
      <c r="B3317">
        <v>5808.1919212693465</v>
      </c>
    </row>
    <row r="3318" spans="1:2" x14ac:dyDescent="0.2">
      <c r="A3318">
        <v>20653.490252428281</v>
      </c>
      <c r="B3318">
        <v>5828.4758065125789</v>
      </c>
    </row>
    <row r="3319" spans="1:2" x14ac:dyDescent="0.2">
      <c r="A3319">
        <v>12156.27697023662</v>
      </c>
      <c r="B3319">
        <v>5833.2266796496988</v>
      </c>
    </row>
    <row r="3320" spans="1:2" x14ac:dyDescent="0.2">
      <c r="A3320">
        <v>-245.94546496166731</v>
      </c>
      <c r="B3320">
        <v>5837.277575122891</v>
      </c>
    </row>
    <row r="3321" spans="1:2" x14ac:dyDescent="0.2">
      <c r="A3321">
        <v>-23193.201123080333</v>
      </c>
      <c r="B3321">
        <v>5838.3370795559313</v>
      </c>
    </row>
    <row r="3322" spans="1:2" x14ac:dyDescent="0.2">
      <c r="A3322">
        <v>3611.818195966538</v>
      </c>
      <c r="B3322">
        <v>5844.8716166777303</v>
      </c>
    </row>
    <row r="3323" spans="1:2" x14ac:dyDescent="0.2">
      <c r="A3323">
        <v>24987.218718082702</v>
      </c>
      <c r="B3323">
        <v>5847.3181154427584</v>
      </c>
    </row>
    <row r="3324" spans="1:2" x14ac:dyDescent="0.2">
      <c r="A3324">
        <v>2452.5419804364792</v>
      </c>
      <c r="B3324">
        <v>5861.1849777838215</v>
      </c>
    </row>
    <row r="3325" spans="1:2" x14ac:dyDescent="0.2">
      <c r="A3325">
        <v>2414.0328624901304</v>
      </c>
      <c r="B3325">
        <v>5868.4739684927627</v>
      </c>
    </row>
    <row r="3326" spans="1:2" x14ac:dyDescent="0.2">
      <c r="A3326">
        <v>1895.0474289896374</v>
      </c>
      <c r="B3326">
        <v>5877.8560792498174</v>
      </c>
    </row>
    <row r="3327" spans="1:2" x14ac:dyDescent="0.2">
      <c r="A3327">
        <v>-3893.4891282359022</v>
      </c>
      <c r="B3327">
        <v>5881.3840868745465</v>
      </c>
    </row>
    <row r="3328" spans="1:2" x14ac:dyDescent="0.2">
      <c r="A3328">
        <v>16822.749407105352</v>
      </c>
      <c r="B3328">
        <v>5889.9775350188429</v>
      </c>
    </row>
    <row r="3329" spans="1:2" x14ac:dyDescent="0.2">
      <c r="A3329">
        <v>11102.139790548506</v>
      </c>
      <c r="B3329">
        <v>5891.3457227146719</v>
      </c>
    </row>
    <row r="3330" spans="1:2" x14ac:dyDescent="0.2">
      <c r="A3330">
        <v>5877.8560792498174</v>
      </c>
      <c r="B3330">
        <v>5893.5915069911862</v>
      </c>
    </row>
    <row r="3331" spans="1:2" x14ac:dyDescent="0.2">
      <c r="A3331">
        <v>4855.0419399225793</v>
      </c>
      <c r="B3331">
        <v>5897.9265877091384</v>
      </c>
    </row>
    <row r="3332" spans="1:2" x14ac:dyDescent="0.2">
      <c r="A3332">
        <v>3005.2947720136144</v>
      </c>
      <c r="B3332">
        <v>5898.4910494901997</v>
      </c>
    </row>
    <row r="3333" spans="1:2" x14ac:dyDescent="0.2">
      <c r="A3333">
        <v>979.7960641143145</v>
      </c>
      <c r="B3333">
        <v>5903.2605331261584</v>
      </c>
    </row>
    <row r="3334" spans="1:2" x14ac:dyDescent="0.2">
      <c r="A3334">
        <v>4795.9051713782537</v>
      </c>
      <c r="B3334">
        <v>5903.7186007471173</v>
      </c>
    </row>
    <row r="3335" spans="1:2" x14ac:dyDescent="0.2">
      <c r="A3335">
        <v>9175.3594266930013</v>
      </c>
      <c r="B3335">
        <v>5906.1103185261018</v>
      </c>
    </row>
    <row r="3336" spans="1:2" x14ac:dyDescent="0.2">
      <c r="A3336">
        <v>6974.1825096218672</v>
      </c>
      <c r="B3336">
        <v>5910.8430807433033</v>
      </c>
    </row>
    <row r="3337" spans="1:2" x14ac:dyDescent="0.2">
      <c r="A3337">
        <v>861.00390220622648</v>
      </c>
      <c r="B3337">
        <v>5911.2499902318523</v>
      </c>
    </row>
    <row r="3338" spans="1:2" x14ac:dyDescent="0.2">
      <c r="A3338">
        <v>-9365.2627443680249</v>
      </c>
      <c r="B3338">
        <v>5914.6376804040046</v>
      </c>
    </row>
    <row r="3339" spans="1:2" x14ac:dyDescent="0.2">
      <c r="A3339">
        <v>9191.157767423836</v>
      </c>
      <c r="B3339">
        <v>5915.8134718476795</v>
      </c>
    </row>
    <row r="3340" spans="1:2" x14ac:dyDescent="0.2">
      <c r="A3340">
        <v>2650.812990806473</v>
      </c>
      <c r="B3340">
        <v>5917.3449685165251</v>
      </c>
    </row>
    <row r="3341" spans="1:2" x14ac:dyDescent="0.2">
      <c r="A3341">
        <v>301.52781300951028</v>
      </c>
      <c r="B3341">
        <v>5920.0713031859486</v>
      </c>
    </row>
    <row r="3342" spans="1:2" x14ac:dyDescent="0.2">
      <c r="A3342">
        <v>9758.1220417795412</v>
      </c>
      <c r="B3342">
        <v>5924.8400162036414</v>
      </c>
    </row>
    <row r="3343" spans="1:2" x14ac:dyDescent="0.2">
      <c r="A3343">
        <v>751.21078822592972</v>
      </c>
      <c r="B3343">
        <v>5925.9976597488712</v>
      </c>
    </row>
    <row r="3344" spans="1:2" x14ac:dyDescent="0.2">
      <c r="A3344">
        <v>6429.9386995231907</v>
      </c>
      <c r="B3344">
        <v>5926.5932748405903</v>
      </c>
    </row>
    <row r="3345" spans="1:2" x14ac:dyDescent="0.2">
      <c r="A3345">
        <v>-17233.557936675468</v>
      </c>
      <c r="B3345">
        <v>5932.8371364493214</v>
      </c>
    </row>
    <row r="3346" spans="1:2" x14ac:dyDescent="0.2">
      <c r="A3346">
        <v>-169.46741518119234</v>
      </c>
      <c r="B3346">
        <v>5938.7925254657748</v>
      </c>
    </row>
    <row r="3347" spans="1:2" x14ac:dyDescent="0.2">
      <c r="A3347">
        <v>8919.4450132677448</v>
      </c>
      <c r="B3347">
        <v>5939.5190393937519</v>
      </c>
    </row>
    <row r="3348" spans="1:2" x14ac:dyDescent="0.2">
      <c r="A3348">
        <v>29808.262254595698</v>
      </c>
      <c r="B3348">
        <v>5959.8557301750989</v>
      </c>
    </row>
    <row r="3349" spans="1:2" x14ac:dyDescent="0.2">
      <c r="A3349">
        <v>2388.2333328876412</v>
      </c>
      <c r="B3349">
        <v>5968.3502432231035</v>
      </c>
    </row>
    <row r="3350" spans="1:2" x14ac:dyDescent="0.2">
      <c r="A3350">
        <v>11276.976299730799</v>
      </c>
      <c r="B3350">
        <v>5970.461577500595</v>
      </c>
    </row>
    <row r="3351" spans="1:2" x14ac:dyDescent="0.2">
      <c r="A3351">
        <v>-11839.380345774116</v>
      </c>
      <c r="B3351">
        <v>5974.5337936803699</v>
      </c>
    </row>
    <row r="3352" spans="1:2" x14ac:dyDescent="0.2">
      <c r="A3352">
        <v>-15793.336365707451</v>
      </c>
      <c r="B3352">
        <v>5977.9461182747618</v>
      </c>
    </row>
    <row r="3353" spans="1:2" x14ac:dyDescent="0.2">
      <c r="A3353">
        <v>9191.2509274907061</v>
      </c>
      <c r="B3353">
        <v>5986.7766926498152</v>
      </c>
    </row>
    <row r="3354" spans="1:2" x14ac:dyDescent="0.2">
      <c r="A3354">
        <v>-1521.2303019126994</v>
      </c>
      <c r="B3354">
        <v>5991.3444730620831</v>
      </c>
    </row>
    <row r="3355" spans="1:2" x14ac:dyDescent="0.2">
      <c r="A3355">
        <v>17617.336939738976</v>
      </c>
      <c r="B3355">
        <v>6000.7031581964984</v>
      </c>
    </row>
    <row r="3356" spans="1:2" x14ac:dyDescent="0.2">
      <c r="A3356">
        <v>3695.616332015401</v>
      </c>
      <c r="B3356">
        <v>6009.9114130268281</v>
      </c>
    </row>
    <row r="3357" spans="1:2" x14ac:dyDescent="0.2">
      <c r="A3357">
        <v>13651.334532429581</v>
      </c>
      <c r="B3357">
        <v>6012.2096547289111</v>
      </c>
    </row>
    <row r="3358" spans="1:2" x14ac:dyDescent="0.2">
      <c r="A3358">
        <v>-2190.8008216665476</v>
      </c>
      <c r="B3358">
        <v>6018.0327065129532</v>
      </c>
    </row>
    <row r="3359" spans="1:2" x14ac:dyDescent="0.2">
      <c r="A3359">
        <v>11186.266269954038</v>
      </c>
      <c r="B3359">
        <v>6018.1343320109008</v>
      </c>
    </row>
    <row r="3360" spans="1:2" x14ac:dyDescent="0.2">
      <c r="A3360">
        <v>5150.3165839575231</v>
      </c>
      <c r="B3360">
        <v>6030.8660266832449</v>
      </c>
    </row>
    <row r="3361" spans="1:2" x14ac:dyDescent="0.2">
      <c r="A3361">
        <v>2802.143386284326</v>
      </c>
      <c r="B3361">
        <v>6039.0600750492013</v>
      </c>
    </row>
    <row r="3362" spans="1:2" x14ac:dyDescent="0.2">
      <c r="A3362">
        <v>18499.753762336826</v>
      </c>
      <c r="B3362">
        <v>6040.3331482075446</v>
      </c>
    </row>
    <row r="3363" spans="1:2" x14ac:dyDescent="0.2">
      <c r="A3363">
        <v>3399.2256713508687</v>
      </c>
      <c r="B3363">
        <v>6047.3140807651216</v>
      </c>
    </row>
    <row r="3364" spans="1:2" x14ac:dyDescent="0.2">
      <c r="A3364">
        <v>1606.0809617749183</v>
      </c>
      <c r="B3364">
        <v>6055.3735737384995</v>
      </c>
    </row>
    <row r="3365" spans="1:2" x14ac:dyDescent="0.2">
      <c r="A3365">
        <v>-18087.023842978611</v>
      </c>
      <c r="B3365">
        <v>6055.6533140966203</v>
      </c>
    </row>
    <row r="3366" spans="1:2" x14ac:dyDescent="0.2">
      <c r="A3366">
        <v>15642.263703163364</v>
      </c>
      <c r="B3366">
        <v>6058.78064700705</v>
      </c>
    </row>
    <row r="3367" spans="1:2" x14ac:dyDescent="0.2">
      <c r="A3367">
        <v>-15159.839467983868</v>
      </c>
      <c r="B3367">
        <v>6078.7635739891848</v>
      </c>
    </row>
    <row r="3368" spans="1:2" x14ac:dyDescent="0.2">
      <c r="A3368">
        <v>17073.618973531586</v>
      </c>
      <c r="B3368">
        <v>6080.4578483117511</v>
      </c>
    </row>
    <row r="3369" spans="1:2" x14ac:dyDescent="0.2">
      <c r="A3369">
        <v>1943.3026616622228</v>
      </c>
      <c r="B3369">
        <v>6084.7680872112396</v>
      </c>
    </row>
    <row r="3370" spans="1:2" x14ac:dyDescent="0.2">
      <c r="A3370">
        <v>17780.709976409387</v>
      </c>
      <c r="B3370">
        <v>6085.340606521524</v>
      </c>
    </row>
    <row r="3371" spans="1:2" x14ac:dyDescent="0.2">
      <c r="A3371">
        <v>10348.047531065473</v>
      </c>
      <c r="B3371">
        <v>6087.8520766371512</v>
      </c>
    </row>
    <row r="3372" spans="1:2" x14ac:dyDescent="0.2">
      <c r="A3372">
        <v>-3661.5833653605659</v>
      </c>
      <c r="B3372">
        <v>6097.8944896812318</v>
      </c>
    </row>
    <row r="3373" spans="1:2" x14ac:dyDescent="0.2">
      <c r="A3373">
        <v>-7581.2043178337626</v>
      </c>
      <c r="B3373">
        <v>6100.0484499665617</v>
      </c>
    </row>
    <row r="3374" spans="1:2" x14ac:dyDescent="0.2">
      <c r="A3374">
        <v>-3276.8019018351624</v>
      </c>
      <c r="B3374">
        <v>6109.9101216084382</v>
      </c>
    </row>
    <row r="3375" spans="1:2" x14ac:dyDescent="0.2">
      <c r="A3375">
        <v>13926.915776409325</v>
      </c>
      <c r="B3375">
        <v>6115.3000890630647</v>
      </c>
    </row>
    <row r="3376" spans="1:2" x14ac:dyDescent="0.2">
      <c r="A3376">
        <v>6824.080542572221</v>
      </c>
      <c r="B3376">
        <v>6118.6392888200935</v>
      </c>
    </row>
    <row r="3377" spans="1:2" x14ac:dyDescent="0.2">
      <c r="A3377">
        <v>10882.268982793335</v>
      </c>
      <c r="B3377">
        <v>6120.481714012567</v>
      </c>
    </row>
    <row r="3378" spans="1:2" x14ac:dyDescent="0.2">
      <c r="A3378">
        <v>-6369.6861238687998</v>
      </c>
      <c r="B3378">
        <v>6122.212904570566</v>
      </c>
    </row>
    <row r="3379" spans="1:2" x14ac:dyDescent="0.2">
      <c r="A3379">
        <v>-6139.3152653358411</v>
      </c>
      <c r="B3379">
        <v>6122.572371020884</v>
      </c>
    </row>
    <row r="3380" spans="1:2" x14ac:dyDescent="0.2">
      <c r="A3380">
        <v>7080.9025416972581</v>
      </c>
      <c r="B3380">
        <v>6124.5552373625105</v>
      </c>
    </row>
    <row r="3381" spans="1:2" x14ac:dyDescent="0.2">
      <c r="A3381">
        <v>9443.2934444824059</v>
      </c>
      <c r="B3381">
        <v>6125.3819838635682</v>
      </c>
    </row>
    <row r="3382" spans="1:2" x14ac:dyDescent="0.2">
      <c r="A3382">
        <v>-26817.040930303454</v>
      </c>
      <c r="B3382">
        <v>6137.7273930508236</v>
      </c>
    </row>
    <row r="3383" spans="1:2" x14ac:dyDescent="0.2">
      <c r="A3383">
        <v>4100.4199946862645</v>
      </c>
      <c r="B3383">
        <v>6145.755005530722</v>
      </c>
    </row>
    <row r="3384" spans="1:2" x14ac:dyDescent="0.2">
      <c r="A3384">
        <v>-1128.3718514660432</v>
      </c>
      <c r="B3384">
        <v>6164.3389326643955</v>
      </c>
    </row>
    <row r="3385" spans="1:2" x14ac:dyDescent="0.2">
      <c r="A3385">
        <v>8915.2245228497195</v>
      </c>
      <c r="B3385">
        <v>6164.9544795908732</v>
      </c>
    </row>
    <row r="3386" spans="1:2" x14ac:dyDescent="0.2">
      <c r="A3386">
        <v>-5688.2290664582979</v>
      </c>
      <c r="B3386">
        <v>6166.077385618526</v>
      </c>
    </row>
    <row r="3387" spans="1:2" x14ac:dyDescent="0.2">
      <c r="A3387">
        <v>-8679.2373649987858</v>
      </c>
      <c r="B3387">
        <v>6174.7605714405654</v>
      </c>
    </row>
    <row r="3388" spans="1:2" x14ac:dyDescent="0.2">
      <c r="A3388">
        <v>5270.3896122986625</v>
      </c>
      <c r="B3388">
        <v>6178.4382697959663</v>
      </c>
    </row>
    <row r="3389" spans="1:2" x14ac:dyDescent="0.2">
      <c r="A3389">
        <v>9293.9628833673778</v>
      </c>
      <c r="B3389">
        <v>6182.5752683937899</v>
      </c>
    </row>
    <row r="3390" spans="1:2" x14ac:dyDescent="0.2">
      <c r="A3390">
        <v>3432.3386991284206</v>
      </c>
      <c r="B3390">
        <v>6184.197426965402</v>
      </c>
    </row>
    <row r="3391" spans="1:2" x14ac:dyDescent="0.2">
      <c r="A3391">
        <v>4462.5481373693037</v>
      </c>
      <c r="B3391">
        <v>6201.6500350448769</v>
      </c>
    </row>
    <row r="3392" spans="1:2" x14ac:dyDescent="0.2">
      <c r="A3392">
        <v>17923.076554627449</v>
      </c>
      <c r="B3392">
        <v>6207.2668645445083</v>
      </c>
    </row>
    <row r="3393" spans="1:2" x14ac:dyDescent="0.2">
      <c r="A3393">
        <v>20574.472021425958</v>
      </c>
      <c r="B3393">
        <v>6217.2200309291366</v>
      </c>
    </row>
    <row r="3394" spans="1:2" x14ac:dyDescent="0.2">
      <c r="A3394">
        <v>2905.2468490846222</v>
      </c>
      <c r="B3394">
        <v>6218.7995839968207</v>
      </c>
    </row>
    <row r="3395" spans="1:2" x14ac:dyDescent="0.2">
      <c r="A3395">
        <v>16690.997027851641</v>
      </c>
      <c r="B3395">
        <v>6220.7563738967001</v>
      </c>
    </row>
    <row r="3396" spans="1:2" x14ac:dyDescent="0.2">
      <c r="A3396">
        <v>-1862.1249576349801</v>
      </c>
      <c r="B3396">
        <v>6221.854626934597</v>
      </c>
    </row>
    <row r="3397" spans="1:2" x14ac:dyDescent="0.2">
      <c r="A3397">
        <v>2917.6405198483262</v>
      </c>
      <c r="B3397">
        <v>6225.8124921677809</v>
      </c>
    </row>
    <row r="3398" spans="1:2" x14ac:dyDescent="0.2">
      <c r="A3398">
        <v>23904.646659286518</v>
      </c>
      <c r="B3398">
        <v>6230.9372513220005</v>
      </c>
    </row>
    <row r="3399" spans="1:2" x14ac:dyDescent="0.2">
      <c r="A3399">
        <v>13216.109758090635</v>
      </c>
      <c r="B3399">
        <v>6237.110167705745</v>
      </c>
    </row>
    <row r="3400" spans="1:2" x14ac:dyDescent="0.2">
      <c r="A3400">
        <v>-5474.2843145401566</v>
      </c>
      <c r="B3400">
        <v>6237.3266793733346</v>
      </c>
    </row>
    <row r="3401" spans="1:2" x14ac:dyDescent="0.2">
      <c r="A3401">
        <v>-480.12291376231587</v>
      </c>
      <c r="B3401">
        <v>6241.2878292542009</v>
      </c>
    </row>
    <row r="3402" spans="1:2" x14ac:dyDescent="0.2">
      <c r="A3402">
        <v>-4195.5267304122099</v>
      </c>
      <c r="B3402">
        <v>6260.9779946499038</v>
      </c>
    </row>
    <row r="3403" spans="1:2" x14ac:dyDescent="0.2">
      <c r="A3403">
        <v>11433.108984180901</v>
      </c>
      <c r="B3403">
        <v>6266.9292862862058</v>
      </c>
    </row>
    <row r="3404" spans="1:2" x14ac:dyDescent="0.2">
      <c r="A3404">
        <v>7453.2614139527141</v>
      </c>
      <c r="B3404">
        <v>6266.9993867815938</v>
      </c>
    </row>
    <row r="3405" spans="1:2" x14ac:dyDescent="0.2">
      <c r="A3405">
        <v>-6530.566861413914</v>
      </c>
      <c r="B3405">
        <v>6274.9699452294735</v>
      </c>
    </row>
    <row r="3406" spans="1:2" x14ac:dyDescent="0.2">
      <c r="A3406">
        <v>17136.729702421158</v>
      </c>
      <c r="B3406">
        <v>6282.2792392434203</v>
      </c>
    </row>
    <row r="3407" spans="1:2" x14ac:dyDescent="0.2">
      <c r="A3407">
        <v>19492.278937560768</v>
      </c>
      <c r="B3407">
        <v>6288.2780262006563</v>
      </c>
    </row>
    <row r="3408" spans="1:2" x14ac:dyDescent="0.2">
      <c r="A3408">
        <v>-1470.4812072185741</v>
      </c>
      <c r="B3408">
        <v>6291.5807645353489</v>
      </c>
    </row>
    <row r="3409" spans="1:2" x14ac:dyDescent="0.2">
      <c r="A3409">
        <v>10069.087582057342</v>
      </c>
      <c r="B3409">
        <v>6292.1546008752193</v>
      </c>
    </row>
    <row r="3410" spans="1:2" x14ac:dyDescent="0.2">
      <c r="A3410">
        <v>5660.1997177689336</v>
      </c>
      <c r="B3410">
        <v>6295.1771367928013</v>
      </c>
    </row>
    <row r="3411" spans="1:2" x14ac:dyDescent="0.2">
      <c r="A3411">
        <v>11068.636926075327</v>
      </c>
      <c r="B3411">
        <v>6295.720893838472</v>
      </c>
    </row>
    <row r="3412" spans="1:2" x14ac:dyDescent="0.2">
      <c r="A3412">
        <v>8961.285757869482</v>
      </c>
      <c r="B3412">
        <v>6296.9755709625024</v>
      </c>
    </row>
    <row r="3413" spans="1:2" x14ac:dyDescent="0.2">
      <c r="A3413">
        <v>-23381.508430665534</v>
      </c>
      <c r="B3413">
        <v>6306.2312010292662</v>
      </c>
    </row>
    <row r="3414" spans="1:2" x14ac:dyDescent="0.2">
      <c r="A3414">
        <v>-6193.3938117703947</v>
      </c>
      <c r="B3414">
        <v>6308.4093491932144</v>
      </c>
    </row>
    <row r="3415" spans="1:2" x14ac:dyDescent="0.2">
      <c r="A3415">
        <v>7118.4856568202958</v>
      </c>
      <c r="B3415">
        <v>6309.6043782193447</v>
      </c>
    </row>
    <row r="3416" spans="1:2" x14ac:dyDescent="0.2">
      <c r="A3416">
        <v>9670.0322283190908</v>
      </c>
      <c r="B3416">
        <v>6309.684932953387</v>
      </c>
    </row>
    <row r="3417" spans="1:2" x14ac:dyDescent="0.2">
      <c r="A3417">
        <v>-6403.0475452223909</v>
      </c>
      <c r="B3417">
        <v>6321.9626042788732</v>
      </c>
    </row>
    <row r="3418" spans="1:2" x14ac:dyDescent="0.2">
      <c r="A3418">
        <v>3860.199865102084</v>
      </c>
      <c r="B3418">
        <v>6336.7251064129814</v>
      </c>
    </row>
    <row r="3419" spans="1:2" x14ac:dyDescent="0.2">
      <c r="A3419">
        <v>10191.682756286697</v>
      </c>
      <c r="B3419">
        <v>6337.1073893546709</v>
      </c>
    </row>
    <row r="3420" spans="1:2" x14ac:dyDescent="0.2">
      <c r="A3420">
        <v>6495.6774119499023</v>
      </c>
      <c r="B3420">
        <v>6338.6562005612068</v>
      </c>
    </row>
    <row r="3421" spans="1:2" x14ac:dyDescent="0.2">
      <c r="A3421">
        <v>2482.1843630576623</v>
      </c>
      <c r="B3421">
        <v>6340.3381726477819</v>
      </c>
    </row>
    <row r="3422" spans="1:2" x14ac:dyDescent="0.2">
      <c r="A3422">
        <v>11701.230074163323</v>
      </c>
      <c r="B3422">
        <v>6344.7561258490605</v>
      </c>
    </row>
    <row r="3423" spans="1:2" x14ac:dyDescent="0.2">
      <c r="A3423">
        <v>2909.3572033998207</v>
      </c>
      <c r="B3423">
        <v>6345.3937902311736</v>
      </c>
    </row>
    <row r="3424" spans="1:2" x14ac:dyDescent="0.2">
      <c r="A3424">
        <v>-389.76580066652969</v>
      </c>
      <c r="B3424">
        <v>6346.9002661042468</v>
      </c>
    </row>
    <row r="3425" spans="1:2" x14ac:dyDescent="0.2">
      <c r="A3425">
        <v>5897.9265877091384</v>
      </c>
      <c r="B3425">
        <v>6349.7827370046871</v>
      </c>
    </row>
    <row r="3426" spans="1:2" x14ac:dyDescent="0.2">
      <c r="A3426">
        <v>6507.6367078127805</v>
      </c>
      <c r="B3426">
        <v>6349.8964431421191</v>
      </c>
    </row>
    <row r="3427" spans="1:2" x14ac:dyDescent="0.2">
      <c r="A3427">
        <v>8107.0097384690889</v>
      </c>
      <c r="B3427">
        <v>6372.3348250160634</v>
      </c>
    </row>
    <row r="3428" spans="1:2" x14ac:dyDescent="0.2">
      <c r="A3428">
        <v>-4400.9777427481022</v>
      </c>
      <c r="B3428">
        <v>6378.0283543259138</v>
      </c>
    </row>
    <row r="3429" spans="1:2" x14ac:dyDescent="0.2">
      <c r="A3429">
        <v>-1306.2801724157762</v>
      </c>
      <c r="B3429">
        <v>6387.7837636186159</v>
      </c>
    </row>
    <row r="3430" spans="1:2" x14ac:dyDescent="0.2">
      <c r="A3430">
        <v>3558.752044496563</v>
      </c>
      <c r="B3430">
        <v>6392.3195399913093</v>
      </c>
    </row>
    <row r="3431" spans="1:2" x14ac:dyDescent="0.2">
      <c r="A3431">
        <v>99.3010248055798</v>
      </c>
      <c r="B3431">
        <v>6393.1774780228443</v>
      </c>
    </row>
    <row r="3432" spans="1:2" x14ac:dyDescent="0.2">
      <c r="A3432">
        <v>6629.8214476665016</v>
      </c>
      <c r="B3432">
        <v>6413.7050174355682</v>
      </c>
    </row>
    <row r="3433" spans="1:2" x14ac:dyDescent="0.2">
      <c r="A3433">
        <v>-4125.5241378836799</v>
      </c>
      <c r="B3433">
        <v>6414.0146024175338</v>
      </c>
    </row>
    <row r="3434" spans="1:2" x14ac:dyDescent="0.2">
      <c r="A3434">
        <v>-5830.7370269538369</v>
      </c>
      <c r="B3434">
        <v>6420.9440222181147</v>
      </c>
    </row>
    <row r="3435" spans="1:2" x14ac:dyDescent="0.2">
      <c r="A3435">
        <v>11043.274204238522</v>
      </c>
      <c r="B3435">
        <v>6425.5301606800058</v>
      </c>
    </row>
    <row r="3436" spans="1:2" x14ac:dyDescent="0.2">
      <c r="A3436">
        <v>18097.435975188302</v>
      </c>
      <c r="B3436">
        <v>6428.3636056278774</v>
      </c>
    </row>
    <row r="3437" spans="1:2" x14ac:dyDescent="0.2">
      <c r="A3437">
        <v>144.13793266064022</v>
      </c>
      <c r="B3437">
        <v>6429.9386995231907</v>
      </c>
    </row>
    <row r="3438" spans="1:2" x14ac:dyDescent="0.2">
      <c r="A3438">
        <v>1105.6528945983155</v>
      </c>
      <c r="B3438">
        <v>6433.2820655072865</v>
      </c>
    </row>
    <row r="3439" spans="1:2" x14ac:dyDescent="0.2">
      <c r="A3439">
        <v>840.2215122852358</v>
      </c>
      <c r="B3439">
        <v>6460.4524361440272</v>
      </c>
    </row>
    <row r="3440" spans="1:2" x14ac:dyDescent="0.2">
      <c r="A3440">
        <v>10285.49751324096</v>
      </c>
      <c r="B3440">
        <v>6461.8627955741831</v>
      </c>
    </row>
    <row r="3441" spans="1:2" x14ac:dyDescent="0.2">
      <c r="A3441">
        <v>-15989.210081994184</v>
      </c>
      <c r="B3441">
        <v>6471.94825501999</v>
      </c>
    </row>
    <row r="3442" spans="1:2" x14ac:dyDescent="0.2">
      <c r="A3442">
        <v>-768.19305218086811</v>
      </c>
      <c r="B3442">
        <v>6490.9600220669527</v>
      </c>
    </row>
    <row r="3443" spans="1:2" x14ac:dyDescent="0.2">
      <c r="A3443">
        <v>6980.7939942901576</v>
      </c>
      <c r="B3443">
        <v>6491.065724525426</v>
      </c>
    </row>
    <row r="3444" spans="1:2" x14ac:dyDescent="0.2">
      <c r="A3444">
        <v>-1098.9366416170087</v>
      </c>
      <c r="B3444">
        <v>6495.6774119499023</v>
      </c>
    </row>
    <row r="3445" spans="1:2" x14ac:dyDescent="0.2">
      <c r="A3445">
        <v>874.75871244026348</v>
      </c>
      <c r="B3445">
        <v>6506.339949406829</v>
      </c>
    </row>
    <row r="3446" spans="1:2" x14ac:dyDescent="0.2">
      <c r="A3446">
        <v>4105.1533795599535</v>
      </c>
      <c r="B3446">
        <v>6507.6367078127805</v>
      </c>
    </row>
    <row r="3447" spans="1:2" x14ac:dyDescent="0.2">
      <c r="A3447">
        <v>598.89930497543537</v>
      </c>
      <c r="B3447">
        <v>6513.357938296569</v>
      </c>
    </row>
    <row r="3448" spans="1:2" x14ac:dyDescent="0.2">
      <c r="A3448">
        <v>9424.4214607148897</v>
      </c>
      <c r="B3448">
        <v>6515.0989137899014</v>
      </c>
    </row>
    <row r="3449" spans="1:2" x14ac:dyDescent="0.2">
      <c r="A3449">
        <v>-2297.0486422993417</v>
      </c>
      <c r="B3449">
        <v>6516.8181405543583</v>
      </c>
    </row>
    <row r="3450" spans="1:2" x14ac:dyDescent="0.2">
      <c r="A3450">
        <v>23807.380613001063</v>
      </c>
      <c r="B3450">
        <v>6520.3694632645056</v>
      </c>
    </row>
    <row r="3451" spans="1:2" x14ac:dyDescent="0.2">
      <c r="A3451">
        <v>-11532.204514076759</v>
      </c>
      <c r="B3451">
        <v>6523.4490363067889</v>
      </c>
    </row>
    <row r="3452" spans="1:2" x14ac:dyDescent="0.2">
      <c r="A3452">
        <v>4943.1462388779619</v>
      </c>
      <c r="B3452">
        <v>6523.9536904018023</v>
      </c>
    </row>
    <row r="3453" spans="1:2" x14ac:dyDescent="0.2">
      <c r="A3453">
        <v>-6726.739692566538</v>
      </c>
      <c r="B3453">
        <v>6531.0861958119785</v>
      </c>
    </row>
    <row r="3454" spans="1:2" x14ac:dyDescent="0.2">
      <c r="A3454">
        <v>5253.1764692888537</v>
      </c>
      <c r="B3454">
        <v>6536.6631451886788</v>
      </c>
    </row>
    <row r="3455" spans="1:2" x14ac:dyDescent="0.2">
      <c r="A3455">
        <v>534.07603342828224</v>
      </c>
      <c r="B3455">
        <v>6543.7330116629018</v>
      </c>
    </row>
    <row r="3456" spans="1:2" x14ac:dyDescent="0.2">
      <c r="A3456">
        <v>6914.5978382160247</v>
      </c>
      <c r="B3456">
        <v>6544.2579902865982</v>
      </c>
    </row>
    <row r="3457" spans="1:2" x14ac:dyDescent="0.2">
      <c r="A3457">
        <v>7845.2761018211313</v>
      </c>
      <c r="B3457">
        <v>6550.2769882485009</v>
      </c>
    </row>
    <row r="3458" spans="1:2" x14ac:dyDescent="0.2">
      <c r="A3458">
        <v>-1415.0813292040839</v>
      </c>
      <c r="B3458">
        <v>6551.8777324483817</v>
      </c>
    </row>
    <row r="3459" spans="1:2" x14ac:dyDescent="0.2">
      <c r="A3459">
        <v>-231.95000882743625</v>
      </c>
      <c r="B3459">
        <v>6552.1006302442402</v>
      </c>
    </row>
    <row r="3460" spans="1:2" x14ac:dyDescent="0.2">
      <c r="A3460">
        <v>10918.406901511946</v>
      </c>
      <c r="B3460">
        <v>6563.6154138712154</v>
      </c>
    </row>
    <row r="3461" spans="1:2" x14ac:dyDescent="0.2">
      <c r="A3461">
        <v>24353.344308106869</v>
      </c>
      <c r="B3461">
        <v>6564.5645775514568</v>
      </c>
    </row>
    <row r="3462" spans="1:2" x14ac:dyDescent="0.2">
      <c r="A3462">
        <v>4599.0865082485834</v>
      </c>
      <c r="B3462">
        <v>6566.558020085271</v>
      </c>
    </row>
    <row r="3463" spans="1:2" x14ac:dyDescent="0.2">
      <c r="A3463">
        <v>11850.118742836814</v>
      </c>
      <c r="B3463">
        <v>6569.9686427511624</v>
      </c>
    </row>
    <row r="3464" spans="1:2" x14ac:dyDescent="0.2">
      <c r="A3464">
        <v>-13496.206484575407</v>
      </c>
      <c r="B3464">
        <v>6571.2642524153052</v>
      </c>
    </row>
    <row r="3465" spans="1:2" x14ac:dyDescent="0.2">
      <c r="A3465">
        <v>1385.6762159086647</v>
      </c>
      <c r="B3465">
        <v>6571.4124095936713</v>
      </c>
    </row>
    <row r="3466" spans="1:2" x14ac:dyDescent="0.2">
      <c r="A3466">
        <v>-3144.6115814978839</v>
      </c>
      <c r="B3466">
        <v>6573.1351335378713</v>
      </c>
    </row>
    <row r="3467" spans="1:2" x14ac:dyDescent="0.2">
      <c r="A3467">
        <v>15776.117722233786</v>
      </c>
      <c r="B3467">
        <v>6575.7172370614135</v>
      </c>
    </row>
    <row r="3468" spans="1:2" x14ac:dyDescent="0.2">
      <c r="A3468">
        <v>8922.6786698834039</v>
      </c>
      <c r="B3468">
        <v>6578.17908097076</v>
      </c>
    </row>
    <row r="3469" spans="1:2" x14ac:dyDescent="0.2">
      <c r="A3469">
        <v>6946.3583385060774</v>
      </c>
      <c r="B3469">
        <v>6578.3834643805167</v>
      </c>
    </row>
    <row r="3470" spans="1:2" x14ac:dyDescent="0.2">
      <c r="A3470">
        <v>-3832.936950408126</v>
      </c>
      <c r="B3470">
        <v>6584.5902456520707</v>
      </c>
    </row>
    <row r="3471" spans="1:2" x14ac:dyDescent="0.2">
      <c r="A3471">
        <v>-13453.720866127114</v>
      </c>
      <c r="B3471">
        <v>6614.5094160770532</v>
      </c>
    </row>
    <row r="3472" spans="1:2" x14ac:dyDescent="0.2">
      <c r="A3472">
        <v>3504.156090900884</v>
      </c>
      <c r="B3472">
        <v>6616.2665192521526</v>
      </c>
    </row>
    <row r="3473" spans="1:2" x14ac:dyDescent="0.2">
      <c r="A3473">
        <v>699.28143594175344</v>
      </c>
      <c r="B3473">
        <v>6629.1518410477438</v>
      </c>
    </row>
    <row r="3474" spans="1:2" x14ac:dyDescent="0.2">
      <c r="A3474">
        <v>19612.629860995628</v>
      </c>
      <c r="B3474">
        <v>6629.8214476665016</v>
      </c>
    </row>
    <row r="3475" spans="1:2" x14ac:dyDescent="0.2">
      <c r="A3475">
        <v>-8129.7351597386878</v>
      </c>
      <c r="B3475">
        <v>6633.7570102642057</v>
      </c>
    </row>
    <row r="3476" spans="1:2" x14ac:dyDescent="0.2">
      <c r="A3476">
        <v>-3088.8549145758443</v>
      </c>
      <c r="B3476">
        <v>6636.2508889194869</v>
      </c>
    </row>
    <row r="3477" spans="1:2" x14ac:dyDescent="0.2">
      <c r="A3477">
        <v>3646.7477399796189</v>
      </c>
      <c r="B3477">
        <v>6647.85882820189</v>
      </c>
    </row>
    <row r="3478" spans="1:2" x14ac:dyDescent="0.2">
      <c r="A3478">
        <v>-8207.6388999120099</v>
      </c>
      <c r="B3478">
        <v>6655.9459827106621</v>
      </c>
    </row>
    <row r="3479" spans="1:2" x14ac:dyDescent="0.2">
      <c r="A3479">
        <v>6569.9686427511624</v>
      </c>
      <c r="B3479">
        <v>6669.8191148953629</v>
      </c>
    </row>
    <row r="3480" spans="1:2" x14ac:dyDescent="0.2">
      <c r="A3480">
        <v>1301.8702836649609</v>
      </c>
      <c r="B3480">
        <v>6674.1674638651602</v>
      </c>
    </row>
    <row r="3481" spans="1:2" x14ac:dyDescent="0.2">
      <c r="A3481">
        <v>-5675.3330373113276</v>
      </c>
      <c r="B3481">
        <v>6674.355483067804</v>
      </c>
    </row>
    <row r="3482" spans="1:2" x14ac:dyDescent="0.2">
      <c r="A3482">
        <v>3170.1511362669407</v>
      </c>
      <c r="B3482">
        <v>6679.8063098654384</v>
      </c>
    </row>
    <row r="3483" spans="1:2" x14ac:dyDescent="0.2">
      <c r="A3483">
        <v>991.69025746092666</v>
      </c>
      <c r="B3483">
        <v>6684.8570102969534</v>
      </c>
    </row>
    <row r="3484" spans="1:2" x14ac:dyDescent="0.2">
      <c r="A3484">
        <v>15519.330674856377</v>
      </c>
      <c r="B3484">
        <v>6690.0520222280757</v>
      </c>
    </row>
    <row r="3485" spans="1:2" x14ac:dyDescent="0.2">
      <c r="A3485">
        <v>-1749.7703795704583</v>
      </c>
      <c r="B3485">
        <v>6690.9516324967262</v>
      </c>
    </row>
    <row r="3486" spans="1:2" x14ac:dyDescent="0.2">
      <c r="A3486">
        <v>3045.9086938348482</v>
      </c>
      <c r="B3486">
        <v>6699.7208288997645</v>
      </c>
    </row>
    <row r="3487" spans="1:2" x14ac:dyDescent="0.2">
      <c r="A3487">
        <v>-5202.6002100337064</v>
      </c>
      <c r="B3487">
        <v>6703.4617653467576</v>
      </c>
    </row>
    <row r="3488" spans="1:2" x14ac:dyDescent="0.2">
      <c r="A3488">
        <v>9290.8253499565762</v>
      </c>
      <c r="B3488">
        <v>6705.6817945509101</v>
      </c>
    </row>
    <row r="3489" spans="1:2" x14ac:dyDescent="0.2">
      <c r="A3489">
        <v>-3123.3625986287952</v>
      </c>
      <c r="B3489">
        <v>6715.5570856451814</v>
      </c>
    </row>
    <row r="3490" spans="1:2" x14ac:dyDescent="0.2">
      <c r="A3490">
        <v>7655.855695859238</v>
      </c>
      <c r="B3490">
        <v>6715.7731637772813</v>
      </c>
    </row>
    <row r="3491" spans="1:2" x14ac:dyDescent="0.2">
      <c r="A3491">
        <v>-18678.249197646219</v>
      </c>
      <c r="B3491">
        <v>6717.7945308836061</v>
      </c>
    </row>
    <row r="3492" spans="1:2" x14ac:dyDescent="0.2">
      <c r="A3492">
        <v>940.61639755644137</v>
      </c>
      <c r="B3492">
        <v>6718.0600118777365</v>
      </c>
    </row>
    <row r="3493" spans="1:2" x14ac:dyDescent="0.2">
      <c r="A3493">
        <v>1061.3360323623056</v>
      </c>
      <c r="B3493">
        <v>6724.7727387195337</v>
      </c>
    </row>
    <row r="3494" spans="1:2" x14ac:dyDescent="0.2">
      <c r="A3494">
        <v>-10876.921486263978</v>
      </c>
      <c r="B3494">
        <v>6733.1533125466667</v>
      </c>
    </row>
    <row r="3495" spans="1:2" x14ac:dyDescent="0.2">
      <c r="A3495">
        <v>4995.0085238608881</v>
      </c>
      <c r="B3495">
        <v>6735.5371001087187</v>
      </c>
    </row>
    <row r="3496" spans="1:2" x14ac:dyDescent="0.2">
      <c r="A3496">
        <v>1692.7314194389037</v>
      </c>
      <c r="B3496">
        <v>6740.0125642279745</v>
      </c>
    </row>
    <row r="3497" spans="1:2" x14ac:dyDescent="0.2">
      <c r="A3497">
        <v>6963.6559006903844</v>
      </c>
      <c r="B3497">
        <v>6751.2735942609725</v>
      </c>
    </row>
    <row r="3498" spans="1:2" x14ac:dyDescent="0.2">
      <c r="A3498">
        <v>5518.0137224748614</v>
      </c>
      <c r="B3498">
        <v>6752.1406475846888</v>
      </c>
    </row>
    <row r="3499" spans="1:2" x14ac:dyDescent="0.2">
      <c r="A3499">
        <v>11884.428283028479</v>
      </c>
      <c r="B3499">
        <v>6754.694515246083</v>
      </c>
    </row>
    <row r="3500" spans="1:2" x14ac:dyDescent="0.2">
      <c r="A3500">
        <v>8780.6425308214093</v>
      </c>
      <c r="B3500">
        <v>6761.2244834982557</v>
      </c>
    </row>
    <row r="3501" spans="1:2" x14ac:dyDescent="0.2">
      <c r="A3501">
        <v>-3952.7883652890159</v>
      </c>
      <c r="B3501">
        <v>6763.5694201946899</v>
      </c>
    </row>
    <row r="3502" spans="1:2" x14ac:dyDescent="0.2">
      <c r="A3502">
        <v>15872.343541934912</v>
      </c>
      <c r="B3502">
        <v>6767.631633157027</v>
      </c>
    </row>
    <row r="3503" spans="1:2" x14ac:dyDescent="0.2">
      <c r="A3503">
        <v>15124.275419923069</v>
      </c>
      <c r="B3503">
        <v>6771.5331437863206</v>
      </c>
    </row>
    <row r="3504" spans="1:2" x14ac:dyDescent="0.2">
      <c r="A3504">
        <v>2072.5029964238638</v>
      </c>
      <c r="B3504">
        <v>6776.8839155041205</v>
      </c>
    </row>
    <row r="3505" spans="1:2" x14ac:dyDescent="0.2">
      <c r="A3505">
        <v>-2032.3313856199966</v>
      </c>
      <c r="B3505">
        <v>6778.2291363434342</v>
      </c>
    </row>
    <row r="3506" spans="1:2" x14ac:dyDescent="0.2">
      <c r="A3506">
        <v>13607.554014752706</v>
      </c>
      <c r="B3506">
        <v>6778.9032534546568</v>
      </c>
    </row>
    <row r="3507" spans="1:2" x14ac:dyDescent="0.2">
      <c r="A3507">
        <v>11841.487529661652</v>
      </c>
      <c r="B3507">
        <v>6800.6017599198385</v>
      </c>
    </row>
    <row r="3508" spans="1:2" x14ac:dyDescent="0.2">
      <c r="A3508">
        <v>27757.473935964983</v>
      </c>
      <c r="B3508">
        <v>6808.1192694344209</v>
      </c>
    </row>
    <row r="3509" spans="1:2" x14ac:dyDescent="0.2">
      <c r="A3509">
        <v>-8908.1597822212498</v>
      </c>
      <c r="B3509">
        <v>6810.5285737775848</v>
      </c>
    </row>
    <row r="3510" spans="1:2" x14ac:dyDescent="0.2">
      <c r="A3510">
        <v>8499.7233769983868</v>
      </c>
      <c r="B3510">
        <v>6810.6519035623351</v>
      </c>
    </row>
    <row r="3511" spans="1:2" x14ac:dyDescent="0.2">
      <c r="A3511">
        <v>21057.726576724323</v>
      </c>
      <c r="B3511">
        <v>6811.2747768972768</v>
      </c>
    </row>
    <row r="3512" spans="1:2" x14ac:dyDescent="0.2">
      <c r="A3512">
        <v>6566.558020085271</v>
      </c>
      <c r="B3512">
        <v>6824.080542572221</v>
      </c>
    </row>
    <row r="3513" spans="1:2" x14ac:dyDescent="0.2">
      <c r="A3513">
        <v>-5589.513489676232</v>
      </c>
      <c r="B3513">
        <v>6827.8285721396242</v>
      </c>
    </row>
    <row r="3514" spans="1:2" x14ac:dyDescent="0.2">
      <c r="A3514">
        <v>-8908.536667979206</v>
      </c>
      <c r="B3514">
        <v>6836.3388568911469</v>
      </c>
    </row>
    <row r="3515" spans="1:2" x14ac:dyDescent="0.2">
      <c r="A3515">
        <v>5737.9003494631033</v>
      </c>
      <c r="B3515">
        <v>6840.695208862162</v>
      </c>
    </row>
    <row r="3516" spans="1:2" x14ac:dyDescent="0.2">
      <c r="A3516">
        <v>4868.3787429398799</v>
      </c>
      <c r="B3516">
        <v>6851.0224148177949</v>
      </c>
    </row>
    <row r="3517" spans="1:2" x14ac:dyDescent="0.2">
      <c r="A3517">
        <v>-11841.048401261098</v>
      </c>
      <c r="B3517">
        <v>6859.8746317643963</v>
      </c>
    </row>
    <row r="3518" spans="1:2" x14ac:dyDescent="0.2">
      <c r="A3518">
        <v>14030.955099523591</v>
      </c>
      <c r="B3518">
        <v>6861.5122664813389</v>
      </c>
    </row>
    <row r="3519" spans="1:2" x14ac:dyDescent="0.2">
      <c r="A3519">
        <v>-2699.432884429465</v>
      </c>
      <c r="B3519">
        <v>6862.4787296475261</v>
      </c>
    </row>
    <row r="3520" spans="1:2" x14ac:dyDescent="0.2">
      <c r="A3520">
        <v>954.38051525966148</v>
      </c>
      <c r="B3520">
        <v>6867.2897037199</v>
      </c>
    </row>
    <row r="3521" spans="1:2" x14ac:dyDescent="0.2">
      <c r="A3521">
        <v>-3262.1855311879481</v>
      </c>
      <c r="B3521">
        <v>6871.9347253841697</v>
      </c>
    </row>
    <row r="3522" spans="1:2" x14ac:dyDescent="0.2">
      <c r="A3522">
        <v>7332.6055868657422</v>
      </c>
      <c r="B3522">
        <v>6884.6178986945888</v>
      </c>
    </row>
    <row r="3523" spans="1:2" x14ac:dyDescent="0.2">
      <c r="A3523">
        <v>-2535.2110951131035</v>
      </c>
      <c r="B3523">
        <v>6885.3865187381743</v>
      </c>
    </row>
    <row r="3524" spans="1:2" x14ac:dyDescent="0.2">
      <c r="A3524">
        <v>-3299.9222985916713</v>
      </c>
      <c r="B3524">
        <v>6888.8633623370552</v>
      </c>
    </row>
    <row r="3525" spans="1:2" x14ac:dyDescent="0.2">
      <c r="A3525">
        <v>7399.3180399125849</v>
      </c>
      <c r="B3525">
        <v>6889.3200467835413</v>
      </c>
    </row>
    <row r="3526" spans="1:2" x14ac:dyDescent="0.2">
      <c r="A3526">
        <v>6669.8191148953629</v>
      </c>
      <c r="B3526">
        <v>6909.3136312522402</v>
      </c>
    </row>
    <row r="3527" spans="1:2" x14ac:dyDescent="0.2">
      <c r="A3527">
        <v>3215.5542882172449</v>
      </c>
      <c r="B3527">
        <v>6912.8635345908115</v>
      </c>
    </row>
    <row r="3528" spans="1:2" x14ac:dyDescent="0.2">
      <c r="A3528">
        <v>3683.083216974861</v>
      </c>
      <c r="B3528">
        <v>6914.5978382160247</v>
      </c>
    </row>
    <row r="3529" spans="1:2" x14ac:dyDescent="0.2">
      <c r="A3529">
        <v>7095.3247761484818</v>
      </c>
      <c r="B3529">
        <v>6942.0085175688728</v>
      </c>
    </row>
    <row r="3530" spans="1:2" x14ac:dyDescent="0.2">
      <c r="A3530">
        <v>8764.0921000223025</v>
      </c>
      <c r="B3530">
        <v>6943.0708150622668</v>
      </c>
    </row>
    <row r="3531" spans="1:2" x14ac:dyDescent="0.2">
      <c r="A3531">
        <v>-14743.242450248741</v>
      </c>
      <c r="B3531">
        <v>6946.0031568405684</v>
      </c>
    </row>
    <row r="3532" spans="1:2" x14ac:dyDescent="0.2">
      <c r="A3532">
        <v>10395.846070667525</v>
      </c>
      <c r="B3532">
        <v>6946.3583385060774</v>
      </c>
    </row>
    <row r="3533" spans="1:2" x14ac:dyDescent="0.2">
      <c r="A3533">
        <v>11706.490477158339</v>
      </c>
      <c r="B3533">
        <v>6950.9714363813982</v>
      </c>
    </row>
    <row r="3534" spans="1:2" x14ac:dyDescent="0.2">
      <c r="A3534">
        <v>11212.758078323008</v>
      </c>
      <c r="B3534">
        <v>6959.2015201589675</v>
      </c>
    </row>
    <row r="3535" spans="1:2" x14ac:dyDescent="0.2">
      <c r="A3535">
        <v>11799.909077693119</v>
      </c>
      <c r="B3535">
        <v>6963.3603931265534</v>
      </c>
    </row>
    <row r="3536" spans="1:2" x14ac:dyDescent="0.2">
      <c r="A3536">
        <v>13876.221251395298</v>
      </c>
      <c r="B3536">
        <v>6963.6559006903844</v>
      </c>
    </row>
    <row r="3537" spans="1:2" x14ac:dyDescent="0.2">
      <c r="A3537">
        <v>12203.859261267993</v>
      </c>
      <c r="B3537">
        <v>6968.3439017729834</v>
      </c>
    </row>
    <row r="3538" spans="1:2" x14ac:dyDescent="0.2">
      <c r="A3538">
        <v>4920.5096575173375</v>
      </c>
      <c r="B3538">
        <v>6974.1825096218672</v>
      </c>
    </row>
    <row r="3539" spans="1:2" x14ac:dyDescent="0.2">
      <c r="A3539">
        <v>5110.4396796259971</v>
      </c>
      <c r="B3539">
        <v>6977.5795469311706</v>
      </c>
    </row>
    <row r="3540" spans="1:2" x14ac:dyDescent="0.2">
      <c r="A3540">
        <v>34903.97293262936</v>
      </c>
      <c r="B3540">
        <v>6980.7939942901576</v>
      </c>
    </row>
    <row r="3541" spans="1:2" x14ac:dyDescent="0.2">
      <c r="A3541">
        <v>-3018.8824676126969</v>
      </c>
      <c r="B3541">
        <v>6991.4619914764189</v>
      </c>
    </row>
    <row r="3542" spans="1:2" x14ac:dyDescent="0.2">
      <c r="A3542">
        <v>-20590.57415796048</v>
      </c>
      <c r="B3542">
        <v>6992.6033035397995</v>
      </c>
    </row>
    <row r="3543" spans="1:2" x14ac:dyDescent="0.2">
      <c r="A3543">
        <v>23252.880190942771</v>
      </c>
      <c r="B3543">
        <v>6993.1043890634028</v>
      </c>
    </row>
    <row r="3544" spans="1:2" x14ac:dyDescent="0.2">
      <c r="A3544">
        <v>4233.8839354727243</v>
      </c>
      <c r="B3544">
        <v>6993.4201407190703</v>
      </c>
    </row>
    <row r="3545" spans="1:2" x14ac:dyDescent="0.2">
      <c r="A3545">
        <v>16378.256514883164</v>
      </c>
      <c r="B3545">
        <v>6997.142990165099</v>
      </c>
    </row>
    <row r="3546" spans="1:2" x14ac:dyDescent="0.2">
      <c r="A3546">
        <v>8539.0777903586859</v>
      </c>
      <c r="B3546">
        <v>6999.2978420836153</v>
      </c>
    </row>
    <row r="3547" spans="1:2" x14ac:dyDescent="0.2">
      <c r="A3547">
        <v>4414.2148778368428</v>
      </c>
      <c r="B3547">
        <v>7003.8077042785008</v>
      </c>
    </row>
    <row r="3548" spans="1:2" x14ac:dyDescent="0.2">
      <c r="A3548">
        <v>3664.0302000473603</v>
      </c>
      <c r="B3548">
        <v>7004.9806896632072</v>
      </c>
    </row>
    <row r="3549" spans="1:2" x14ac:dyDescent="0.2">
      <c r="A3549">
        <v>17496.623532323836</v>
      </c>
      <c r="B3549">
        <v>7005.0528859879705</v>
      </c>
    </row>
    <row r="3550" spans="1:2" x14ac:dyDescent="0.2">
      <c r="A3550">
        <v>-2831.5720333690406</v>
      </c>
      <c r="B3550">
        <v>7008.3837878398481</v>
      </c>
    </row>
    <row r="3551" spans="1:2" x14ac:dyDescent="0.2">
      <c r="A3551">
        <v>540.71474306914024</v>
      </c>
      <c r="B3551">
        <v>7016.7088421796507</v>
      </c>
    </row>
    <row r="3552" spans="1:2" x14ac:dyDescent="0.2">
      <c r="A3552">
        <v>-1717.8512047195691</v>
      </c>
      <c r="B3552">
        <v>7019.3955978307058</v>
      </c>
    </row>
    <row r="3553" spans="1:2" x14ac:dyDescent="0.2">
      <c r="A3553">
        <v>-264.89734946575481</v>
      </c>
      <c r="B3553">
        <v>7026.8999054475571</v>
      </c>
    </row>
    <row r="3554" spans="1:2" x14ac:dyDescent="0.2">
      <c r="A3554">
        <v>-2226.2016355681408</v>
      </c>
      <c r="B3554">
        <v>7035.7389104956528</v>
      </c>
    </row>
    <row r="3555" spans="1:2" x14ac:dyDescent="0.2">
      <c r="A3555">
        <v>21970.748005307658</v>
      </c>
      <c r="B3555">
        <v>7039.2733826733311</v>
      </c>
    </row>
    <row r="3556" spans="1:2" x14ac:dyDescent="0.2">
      <c r="A3556">
        <v>-1141.2659853841469</v>
      </c>
      <c r="B3556">
        <v>7040.9280007084017</v>
      </c>
    </row>
    <row r="3557" spans="1:2" x14ac:dyDescent="0.2">
      <c r="A3557">
        <v>1625.371194749343</v>
      </c>
      <c r="B3557">
        <v>7043.2074225424731</v>
      </c>
    </row>
    <row r="3558" spans="1:2" x14ac:dyDescent="0.2">
      <c r="A3558">
        <v>-2052.0425556859118</v>
      </c>
      <c r="B3558">
        <v>7046.1848371715751</v>
      </c>
    </row>
    <row r="3559" spans="1:2" x14ac:dyDescent="0.2">
      <c r="A3559">
        <v>-37107.680215629982</v>
      </c>
      <c r="B3559">
        <v>7056.4500669771514</v>
      </c>
    </row>
    <row r="3560" spans="1:2" x14ac:dyDescent="0.2">
      <c r="A3560">
        <v>5237.928079645877</v>
      </c>
      <c r="B3560">
        <v>7062.3575307338615</v>
      </c>
    </row>
    <row r="3561" spans="1:2" x14ac:dyDescent="0.2">
      <c r="A3561">
        <v>-4339.9260030903679</v>
      </c>
      <c r="B3561">
        <v>7066.5573499012971</v>
      </c>
    </row>
    <row r="3562" spans="1:2" x14ac:dyDescent="0.2">
      <c r="A3562">
        <v>-1224.3162648676371</v>
      </c>
      <c r="B3562">
        <v>7073.4611056697904</v>
      </c>
    </row>
    <row r="3563" spans="1:2" x14ac:dyDescent="0.2">
      <c r="A3563">
        <v>-2966.5391894794884</v>
      </c>
      <c r="B3563">
        <v>7073.6273416796757</v>
      </c>
    </row>
    <row r="3564" spans="1:2" x14ac:dyDescent="0.2">
      <c r="A3564">
        <v>-11228.164571977803</v>
      </c>
      <c r="B3564">
        <v>7075.779077756335</v>
      </c>
    </row>
    <row r="3565" spans="1:2" x14ac:dyDescent="0.2">
      <c r="A3565">
        <v>2487.7018843705882</v>
      </c>
      <c r="B3565">
        <v>7080.9025416972581</v>
      </c>
    </row>
    <row r="3566" spans="1:2" x14ac:dyDescent="0.2">
      <c r="A3566">
        <v>-7362.7474173928495</v>
      </c>
      <c r="B3566">
        <v>7086.1420530024334</v>
      </c>
    </row>
    <row r="3567" spans="1:2" x14ac:dyDescent="0.2">
      <c r="A3567">
        <v>-5074.5859679035493</v>
      </c>
      <c r="B3567">
        <v>7086.7497540554905</v>
      </c>
    </row>
    <row r="3568" spans="1:2" x14ac:dyDescent="0.2">
      <c r="A3568">
        <v>4138.2152554577333</v>
      </c>
      <c r="B3568">
        <v>7090.5412753577693</v>
      </c>
    </row>
    <row r="3569" spans="1:2" x14ac:dyDescent="0.2">
      <c r="A3569">
        <v>1385.5225624555023</v>
      </c>
      <c r="B3569">
        <v>7095.3247761484818</v>
      </c>
    </row>
    <row r="3570" spans="1:2" x14ac:dyDescent="0.2">
      <c r="A3570">
        <v>11531.958608704968</v>
      </c>
      <c r="B3570">
        <v>7102.3989953020937</v>
      </c>
    </row>
    <row r="3571" spans="1:2" x14ac:dyDescent="0.2">
      <c r="A3571">
        <v>802.13537033824832</v>
      </c>
      <c r="B3571">
        <v>7102.8977527609677</v>
      </c>
    </row>
    <row r="3572" spans="1:2" x14ac:dyDescent="0.2">
      <c r="A3572">
        <v>-23927.03560631891</v>
      </c>
      <c r="B3572">
        <v>7107.2205330032739</v>
      </c>
    </row>
    <row r="3573" spans="1:2" x14ac:dyDescent="0.2">
      <c r="A3573">
        <v>-7328.3872043728188</v>
      </c>
      <c r="B3573">
        <v>7109.2632652951434</v>
      </c>
    </row>
    <row r="3574" spans="1:2" x14ac:dyDescent="0.2">
      <c r="A3574">
        <v>10885.0658146817</v>
      </c>
      <c r="B3574">
        <v>7112.1683535696939</v>
      </c>
    </row>
    <row r="3575" spans="1:2" x14ac:dyDescent="0.2">
      <c r="A3575">
        <v>16802.160895732261</v>
      </c>
      <c r="B3575">
        <v>7118.4856568202958</v>
      </c>
    </row>
    <row r="3576" spans="1:2" x14ac:dyDescent="0.2">
      <c r="A3576">
        <v>3814.7921897143242</v>
      </c>
      <c r="B3576">
        <v>7120.3400403434061</v>
      </c>
    </row>
    <row r="3577" spans="1:2" x14ac:dyDescent="0.2">
      <c r="A3577">
        <v>6491.065724525426</v>
      </c>
      <c r="B3577">
        <v>7126.8817420960404</v>
      </c>
    </row>
    <row r="3578" spans="1:2" x14ac:dyDescent="0.2">
      <c r="A3578">
        <v>-1972.3484560833313</v>
      </c>
      <c r="B3578">
        <v>7130.4653624669299</v>
      </c>
    </row>
    <row r="3579" spans="1:2" x14ac:dyDescent="0.2">
      <c r="A3579">
        <v>-2827.4690835658694</v>
      </c>
      <c r="B3579">
        <v>7132.1350839893566</v>
      </c>
    </row>
    <row r="3580" spans="1:2" x14ac:dyDescent="0.2">
      <c r="A3580">
        <v>16350.617735485197</v>
      </c>
      <c r="B3580">
        <v>7142.9860458132171</v>
      </c>
    </row>
    <row r="3581" spans="1:2" x14ac:dyDescent="0.2">
      <c r="A3581">
        <v>-8903.567954563885</v>
      </c>
      <c r="B3581">
        <v>7150.5631341870467</v>
      </c>
    </row>
    <row r="3582" spans="1:2" x14ac:dyDescent="0.2">
      <c r="A3582">
        <v>-5644.6369524775946</v>
      </c>
      <c r="B3582">
        <v>7152.8494472153252</v>
      </c>
    </row>
    <row r="3583" spans="1:2" x14ac:dyDescent="0.2">
      <c r="A3583">
        <v>-13748.523866746516</v>
      </c>
      <c r="B3583">
        <v>7156.2748525039933</v>
      </c>
    </row>
    <row r="3584" spans="1:2" x14ac:dyDescent="0.2">
      <c r="A3584">
        <v>3610.5131328200514</v>
      </c>
      <c r="B3584">
        <v>7158.1451047205192</v>
      </c>
    </row>
    <row r="3585" spans="1:2" x14ac:dyDescent="0.2">
      <c r="A3585">
        <v>5533.5263378823875</v>
      </c>
      <c r="B3585">
        <v>7160.4221657303569</v>
      </c>
    </row>
    <row r="3586" spans="1:2" x14ac:dyDescent="0.2">
      <c r="A3586">
        <v>19472.850847712136</v>
      </c>
      <c r="B3586">
        <v>7164.1461524690967</v>
      </c>
    </row>
    <row r="3587" spans="1:2" x14ac:dyDescent="0.2">
      <c r="A3587">
        <v>10018.95397643192</v>
      </c>
      <c r="B3587">
        <v>7177.4817857249291</v>
      </c>
    </row>
    <row r="3588" spans="1:2" x14ac:dyDescent="0.2">
      <c r="A3588">
        <v>3675.6764641669288</v>
      </c>
      <c r="B3588">
        <v>7187.1917399344966</v>
      </c>
    </row>
    <row r="3589" spans="1:2" x14ac:dyDescent="0.2">
      <c r="A3589">
        <v>-6577.9859964083735</v>
      </c>
      <c r="B3589">
        <v>7190.1446117023006</v>
      </c>
    </row>
    <row r="3590" spans="1:2" x14ac:dyDescent="0.2">
      <c r="A3590">
        <v>14362.777630335215</v>
      </c>
      <c r="B3590">
        <v>7191.3624312312459</v>
      </c>
    </row>
    <row r="3591" spans="1:2" x14ac:dyDescent="0.2">
      <c r="A3591">
        <v>9868.6227113439236</v>
      </c>
      <c r="B3591">
        <v>7201.6115855109529</v>
      </c>
    </row>
    <row r="3592" spans="1:2" x14ac:dyDescent="0.2">
      <c r="A3592">
        <v>-4010.1934923210065</v>
      </c>
      <c r="B3592">
        <v>7210.5495346068055</v>
      </c>
    </row>
    <row r="3593" spans="1:2" x14ac:dyDescent="0.2">
      <c r="A3593">
        <v>-2289.840295107133</v>
      </c>
      <c r="B3593">
        <v>7218.0388245748472</v>
      </c>
    </row>
    <row r="3594" spans="1:2" x14ac:dyDescent="0.2">
      <c r="A3594">
        <v>9442.1288920550141</v>
      </c>
      <c r="B3594">
        <v>7231.8825545350555</v>
      </c>
    </row>
    <row r="3595" spans="1:2" x14ac:dyDescent="0.2">
      <c r="A3595">
        <v>3364.9951989500551</v>
      </c>
      <c r="B3595">
        <v>7233.2632898537559</v>
      </c>
    </row>
    <row r="3596" spans="1:2" x14ac:dyDescent="0.2">
      <c r="A3596">
        <v>-5489.7202912954963</v>
      </c>
      <c r="B3596">
        <v>7237.5830847243778</v>
      </c>
    </row>
    <row r="3597" spans="1:2" x14ac:dyDescent="0.2">
      <c r="A3597">
        <v>-4346.7787719624757</v>
      </c>
      <c r="B3597">
        <v>7238.1200662665942</v>
      </c>
    </row>
    <row r="3598" spans="1:2" x14ac:dyDescent="0.2">
      <c r="A3598">
        <v>465.79268001942546</v>
      </c>
      <c r="B3598">
        <v>7263.7938043381146</v>
      </c>
    </row>
    <row r="3599" spans="1:2" x14ac:dyDescent="0.2">
      <c r="A3599">
        <v>11772.465311404609</v>
      </c>
      <c r="B3599">
        <v>7264.5688526143786</v>
      </c>
    </row>
    <row r="3600" spans="1:2" x14ac:dyDescent="0.2">
      <c r="A3600">
        <v>22682.655707818456</v>
      </c>
      <c r="B3600">
        <v>7266.9333483580267</v>
      </c>
    </row>
    <row r="3601" spans="1:2" x14ac:dyDescent="0.2">
      <c r="A3601">
        <v>-8059.6619371317502</v>
      </c>
      <c r="B3601">
        <v>7272.3650505859114</v>
      </c>
    </row>
    <row r="3602" spans="1:2" x14ac:dyDescent="0.2">
      <c r="A3602">
        <v>-12919.397408486082</v>
      </c>
      <c r="B3602">
        <v>7279.3598807421222</v>
      </c>
    </row>
    <row r="3603" spans="1:2" x14ac:dyDescent="0.2">
      <c r="A3603">
        <v>-20875.954690181068</v>
      </c>
      <c r="B3603">
        <v>7282.7031938502041</v>
      </c>
    </row>
    <row r="3604" spans="1:2" x14ac:dyDescent="0.2">
      <c r="A3604">
        <v>-4224.2930473886663</v>
      </c>
      <c r="B3604">
        <v>7289.9220880484791</v>
      </c>
    </row>
    <row r="3605" spans="1:2" x14ac:dyDescent="0.2">
      <c r="A3605">
        <v>-6723.4911595288431</v>
      </c>
      <c r="B3605">
        <v>7290.0735374997021</v>
      </c>
    </row>
    <row r="3606" spans="1:2" x14ac:dyDescent="0.2">
      <c r="A3606">
        <v>23657.689238935622</v>
      </c>
      <c r="B3606">
        <v>7300.0943402855482</v>
      </c>
    </row>
    <row r="3607" spans="1:2" x14ac:dyDescent="0.2">
      <c r="A3607">
        <v>-7740.0437782260124</v>
      </c>
      <c r="B3607">
        <v>7304.790220808587</v>
      </c>
    </row>
    <row r="3608" spans="1:2" x14ac:dyDescent="0.2">
      <c r="A3608">
        <v>5168.5666628107138</v>
      </c>
      <c r="B3608">
        <v>7305.3346462695627</v>
      </c>
    </row>
    <row r="3609" spans="1:2" x14ac:dyDescent="0.2">
      <c r="A3609">
        <v>2536.7606084954168</v>
      </c>
      <c r="B3609">
        <v>7313.1372224278166</v>
      </c>
    </row>
    <row r="3610" spans="1:2" x14ac:dyDescent="0.2">
      <c r="A3610">
        <v>-64.670140122470912</v>
      </c>
      <c r="B3610">
        <v>7314.3455383701366</v>
      </c>
    </row>
    <row r="3611" spans="1:2" x14ac:dyDescent="0.2">
      <c r="A3611">
        <v>4109.3958050511137</v>
      </c>
      <c r="B3611">
        <v>7332.6055868657422</v>
      </c>
    </row>
    <row r="3612" spans="1:2" x14ac:dyDescent="0.2">
      <c r="A3612">
        <v>12096.088279471849</v>
      </c>
      <c r="B3612">
        <v>7335.2548056078376</v>
      </c>
    </row>
    <row r="3613" spans="1:2" x14ac:dyDescent="0.2">
      <c r="A3613">
        <v>5251.1946973376325</v>
      </c>
      <c r="B3613">
        <v>7335.5529931260098</v>
      </c>
    </row>
    <row r="3614" spans="1:2" x14ac:dyDescent="0.2">
      <c r="A3614">
        <v>8002.4839914047043</v>
      </c>
      <c r="B3614">
        <v>7339.8442578122485</v>
      </c>
    </row>
    <row r="3615" spans="1:2" x14ac:dyDescent="0.2">
      <c r="A3615">
        <v>-7144.8716058281425</v>
      </c>
      <c r="B3615">
        <v>7344.2124716908729</v>
      </c>
    </row>
    <row r="3616" spans="1:2" x14ac:dyDescent="0.2">
      <c r="A3616">
        <v>-2375.0179864921374</v>
      </c>
      <c r="B3616">
        <v>7349.7295247130096</v>
      </c>
    </row>
    <row r="3617" spans="1:2" x14ac:dyDescent="0.2">
      <c r="A3617">
        <v>4082.9690615040599</v>
      </c>
      <c r="B3617">
        <v>7349.8975307817454</v>
      </c>
    </row>
    <row r="3618" spans="1:2" x14ac:dyDescent="0.2">
      <c r="A3618">
        <v>-3098.4619170376391</v>
      </c>
      <c r="B3618">
        <v>7353.0982478173974</v>
      </c>
    </row>
    <row r="3619" spans="1:2" x14ac:dyDescent="0.2">
      <c r="A3619">
        <v>7836.3057269551209</v>
      </c>
      <c r="B3619">
        <v>7358.4832710189221</v>
      </c>
    </row>
    <row r="3620" spans="1:2" x14ac:dyDescent="0.2">
      <c r="A3620">
        <v>4509.1835469490034</v>
      </c>
      <c r="B3620">
        <v>7360.607902258751</v>
      </c>
    </row>
    <row r="3621" spans="1:2" x14ac:dyDescent="0.2">
      <c r="A3621">
        <v>1327.2367884593841</v>
      </c>
      <c r="B3621">
        <v>7365.796541173564</v>
      </c>
    </row>
    <row r="3622" spans="1:2" x14ac:dyDescent="0.2">
      <c r="A3622">
        <v>3802.7909187853802</v>
      </c>
      <c r="B3622">
        <v>7390.1000242447772</v>
      </c>
    </row>
    <row r="3623" spans="1:2" x14ac:dyDescent="0.2">
      <c r="A3623">
        <v>684.79745212424314</v>
      </c>
      <c r="B3623">
        <v>7396.890305447916</v>
      </c>
    </row>
    <row r="3624" spans="1:2" x14ac:dyDescent="0.2">
      <c r="A3624">
        <v>-20129.205971456482</v>
      </c>
      <c r="B3624">
        <v>7397.1605651718564</v>
      </c>
    </row>
    <row r="3625" spans="1:2" x14ac:dyDescent="0.2">
      <c r="A3625">
        <v>15473.39285124981</v>
      </c>
      <c r="B3625">
        <v>7399.3180399125849</v>
      </c>
    </row>
    <row r="3626" spans="1:2" x14ac:dyDescent="0.2">
      <c r="A3626">
        <v>4672.733294809761</v>
      </c>
      <c r="B3626">
        <v>7405.6062035457871</v>
      </c>
    </row>
    <row r="3627" spans="1:2" x14ac:dyDescent="0.2">
      <c r="A3627">
        <v>-13000.979663148522</v>
      </c>
      <c r="B3627">
        <v>7421.9549412870256</v>
      </c>
    </row>
    <row r="3628" spans="1:2" x14ac:dyDescent="0.2">
      <c r="A3628">
        <v>4281.0144016955892</v>
      </c>
      <c r="B3628">
        <v>7423.1767652288836</v>
      </c>
    </row>
    <row r="3629" spans="1:2" x14ac:dyDescent="0.2">
      <c r="A3629">
        <v>11168.995085939037</v>
      </c>
      <c r="B3629">
        <v>7426.6540532213985</v>
      </c>
    </row>
    <row r="3630" spans="1:2" x14ac:dyDescent="0.2">
      <c r="A3630">
        <v>10104.968006837182</v>
      </c>
      <c r="B3630">
        <v>7444.0607949537225</v>
      </c>
    </row>
    <row r="3631" spans="1:2" x14ac:dyDescent="0.2">
      <c r="A3631">
        <v>-19985.458711648884</v>
      </c>
      <c r="B3631">
        <v>7450.1026893527596</v>
      </c>
    </row>
    <row r="3632" spans="1:2" x14ac:dyDescent="0.2">
      <c r="A3632">
        <v>-8211.905997463211</v>
      </c>
      <c r="B3632">
        <v>7450.5351765408705</v>
      </c>
    </row>
    <row r="3633" spans="1:2" x14ac:dyDescent="0.2">
      <c r="A3633">
        <v>-4618.6770318737254</v>
      </c>
      <c r="B3633">
        <v>7453.2614139527141</v>
      </c>
    </row>
    <row r="3634" spans="1:2" x14ac:dyDescent="0.2">
      <c r="A3634">
        <v>3784.9060221923573</v>
      </c>
      <c r="B3634">
        <v>7456.5617184003349</v>
      </c>
    </row>
    <row r="3635" spans="1:2" x14ac:dyDescent="0.2">
      <c r="A3635">
        <v>-9140.0228404153604</v>
      </c>
      <c r="B3635">
        <v>7461.0601086204988</v>
      </c>
    </row>
    <row r="3636" spans="1:2" x14ac:dyDescent="0.2">
      <c r="A3636">
        <v>4155.8155699816998</v>
      </c>
      <c r="B3636">
        <v>7463.607217097946</v>
      </c>
    </row>
    <row r="3637" spans="1:2" x14ac:dyDescent="0.2">
      <c r="A3637">
        <v>4866.9087939694873</v>
      </c>
      <c r="B3637">
        <v>7468.0410060113645</v>
      </c>
    </row>
    <row r="3638" spans="1:2" x14ac:dyDescent="0.2">
      <c r="A3638">
        <v>5630.876085544005</v>
      </c>
      <c r="B3638">
        <v>7470.4956326978572</v>
      </c>
    </row>
    <row r="3639" spans="1:2" x14ac:dyDescent="0.2">
      <c r="A3639">
        <v>993.47860732633853</v>
      </c>
      <c r="B3639">
        <v>7475.5284181783209</v>
      </c>
    </row>
    <row r="3640" spans="1:2" x14ac:dyDescent="0.2">
      <c r="A3640">
        <v>3036.0654898566718</v>
      </c>
      <c r="B3640">
        <v>7479.8918978242436</v>
      </c>
    </row>
    <row r="3641" spans="1:2" x14ac:dyDescent="0.2">
      <c r="A3641">
        <v>-5259.6436427847366</v>
      </c>
      <c r="B3641">
        <v>7482.0863735914754</v>
      </c>
    </row>
    <row r="3642" spans="1:2" x14ac:dyDescent="0.2">
      <c r="A3642">
        <v>2902.2903082816629</v>
      </c>
      <c r="B3642">
        <v>7483.7338806863991</v>
      </c>
    </row>
    <row r="3643" spans="1:2" x14ac:dyDescent="0.2">
      <c r="A3643">
        <v>1686.6265565318463</v>
      </c>
      <c r="B3643">
        <v>7484.8015656117932</v>
      </c>
    </row>
    <row r="3644" spans="1:2" x14ac:dyDescent="0.2">
      <c r="A3644">
        <v>-3979.9167761972058</v>
      </c>
      <c r="B3644">
        <v>7496.527216775954</v>
      </c>
    </row>
    <row r="3645" spans="1:2" x14ac:dyDescent="0.2">
      <c r="A3645">
        <v>18398.203374584176</v>
      </c>
      <c r="B3645">
        <v>7502.3370969717507</v>
      </c>
    </row>
    <row r="3646" spans="1:2" x14ac:dyDescent="0.2">
      <c r="A3646">
        <v>8653.5461114292848</v>
      </c>
      <c r="B3646">
        <v>7505.8634261876578</v>
      </c>
    </row>
    <row r="3647" spans="1:2" x14ac:dyDescent="0.2">
      <c r="A3647">
        <v>-7332.7036998838303</v>
      </c>
      <c r="B3647">
        <v>7507.6032332814648</v>
      </c>
    </row>
    <row r="3648" spans="1:2" x14ac:dyDescent="0.2">
      <c r="A3648">
        <v>-6059.2647480758314</v>
      </c>
      <c r="B3648">
        <v>7507.7581339366152</v>
      </c>
    </row>
    <row r="3649" spans="1:2" x14ac:dyDescent="0.2">
      <c r="A3649">
        <v>6055.6533140966203</v>
      </c>
      <c r="B3649">
        <v>7507.982545441715</v>
      </c>
    </row>
    <row r="3650" spans="1:2" x14ac:dyDescent="0.2">
      <c r="A3650">
        <v>3825.3359193164215</v>
      </c>
      <c r="B3650">
        <v>7511.9086964902817</v>
      </c>
    </row>
    <row r="3651" spans="1:2" x14ac:dyDescent="0.2">
      <c r="A3651">
        <v>-1068.8546759085148</v>
      </c>
      <c r="B3651">
        <v>7520.0292849615507</v>
      </c>
    </row>
    <row r="3652" spans="1:2" x14ac:dyDescent="0.2">
      <c r="A3652">
        <v>3751.2112126707798</v>
      </c>
      <c r="B3652">
        <v>7532.8262105270405</v>
      </c>
    </row>
    <row r="3653" spans="1:2" x14ac:dyDescent="0.2">
      <c r="A3653">
        <v>16343.008940209431</v>
      </c>
      <c r="B3653">
        <v>7532.9567514294176</v>
      </c>
    </row>
    <row r="3654" spans="1:2" x14ac:dyDescent="0.2">
      <c r="A3654">
        <v>5653.7390219432418</v>
      </c>
      <c r="B3654">
        <v>7535.6502345981717</v>
      </c>
    </row>
    <row r="3655" spans="1:2" x14ac:dyDescent="0.2">
      <c r="A3655">
        <v>6771.5331437863206</v>
      </c>
      <c r="B3655">
        <v>7536.290518959504</v>
      </c>
    </row>
    <row r="3656" spans="1:2" x14ac:dyDescent="0.2">
      <c r="A3656">
        <v>3173.7872871986765</v>
      </c>
      <c r="B3656">
        <v>7543.5842220447375</v>
      </c>
    </row>
    <row r="3657" spans="1:2" x14ac:dyDescent="0.2">
      <c r="A3657">
        <v>12440.434254743974</v>
      </c>
      <c r="B3657">
        <v>7546.2595478184521</v>
      </c>
    </row>
    <row r="3658" spans="1:2" x14ac:dyDescent="0.2">
      <c r="A3658">
        <v>21019.980136675469</v>
      </c>
      <c r="B3658">
        <v>7546.8198972662212</v>
      </c>
    </row>
    <row r="3659" spans="1:2" x14ac:dyDescent="0.2">
      <c r="A3659">
        <v>-18498.028943706362</v>
      </c>
      <c r="B3659">
        <v>7548.293715042877</v>
      </c>
    </row>
    <row r="3660" spans="1:2" x14ac:dyDescent="0.2">
      <c r="A3660">
        <v>421.06893986827345</v>
      </c>
      <c r="B3660">
        <v>7552.4586814325012</v>
      </c>
    </row>
    <row r="3661" spans="1:2" x14ac:dyDescent="0.2">
      <c r="A3661">
        <v>-737.44327922334196</v>
      </c>
      <c r="B3661">
        <v>7565.8209709947987</v>
      </c>
    </row>
    <row r="3662" spans="1:2" x14ac:dyDescent="0.2">
      <c r="A3662">
        <v>-3874.0338183984277</v>
      </c>
      <c r="B3662">
        <v>7567.3300931080594</v>
      </c>
    </row>
    <row r="3663" spans="1:2" x14ac:dyDescent="0.2">
      <c r="A3663">
        <v>8384.6190258219722</v>
      </c>
      <c r="B3663">
        <v>7576.1753450212127</v>
      </c>
    </row>
    <row r="3664" spans="1:2" x14ac:dyDescent="0.2">
      <c r="A3664">
        <v>-12271.98169898527</v>
      </c>
      <c r="B3664">
        <v>7577.4647062140284</v>
      </c>
    </row>
    <row r="3665" spans="1:2" x14ac:dyDescent="0.2">
      <c r="A3665">
        <v>-2218.7996473997482</v>
      </c>
      <c r="B3665">
        <v>7579.3569500647718</v>
      </c>
    </row>
    <row r="3666" spans="1:2" x14ac:dyDescent="0.2">
      <c r="A3666">
        <v>-7678.688796899718</v>
      </c>
      <c r="B3666">
        <v>7583.1662389238772</v>
      </c>
    </row>
    <row r="3667" spans="1:2" x14ac:dyDescent="0.2">
      <c r="A3667">
        <v>-14952.744440292096</v>
      </c>
      <c r="B3667">
        <v>7591.8914219005383</v>
      </c>
    </row>
    <row r="3668" spans="1:2" x14ac:dyDescent="0.2">
      <c r="A3668">
        <v>-7746.6744834169513</v>
      </c>
      <c r="B3668">
        <v>7592.6938936855004</v>
      </c>
    </row>
    <row r="3669" spans="1:2" x14ac:dyDescent="0.2">
      <c r="A3669">
        <v>1438.0907145258971</v>
      </c>
      <c r="B3669">
        <v>7603.8722026410396</v>
      </c>
    </row>
    <row r="3670" spans="1:2" x14ac:dyDescent="0.2">
      <c r="A3670">
        <v>-9104.9735033848265</v>
      </c>
      <c r="B3670">
        <v>7604.8575803158164</v>
      </c>
    </row>
    <row r="3671" spans="1:2" x14ac:dyDescent="0.2">
      <c r="A3671">
        <v>-83.902126509812661</v>
      </c>
      <c r="B3671">
        <v>7607.0012345961295</v>
      </c>
    </row>
    <row r="3672" spans="1:2" x14ac:dyDescent="0.2">
      <c r="A3672">
        <v>3678.7605462345527</v>
      </c>
      <c r="B3672">
        <v>7610.9709535826114</v>
      </c>
    </row>
    <row r="3673" spans="1:2" x14ac:dyDescent="0.2">
      <c r="A3673">
        <v>436.98115218133898</v>
      </c>
      <c r="B3673">
        <v>7620.4709790684865</v>
      </c>
    </row>
    <row r="3674" spans="1:2" x14ac:dyDescent="0.2">
      <c r="A3674">
        <v>-16062.264790171292</v>
      </c>
      <c r="B3674">
        <v>7621.7189044876432</v>
      </c>
    </row>
    <row r="3675" spans="1:2" x14ac:dyDescent="0.2">
      <c r="A3675">
        <v>1861.1253448678763</v>
      </c>
      <c r="B3675">
        <v>7623.1366974595003</v>
      </c>
    </row>
    <row r="3676" spans="1:2" x14ac:dyDescent="0.2">
      <c r="A3676">
        <v>-8827.7431534798234</v>
      </c>
      <c r="B3676">
        <v>7623.4844989609846</v>
      </c>
    </row>
    <row r="3677" spans="1:2" x14ac:dyDescent="0.2">
      <c r="A3677">
        <v>-6821.2985326453054</v>
      </c>
      <c r="B3677">
        <v>7655.855695859238</v>
      </c>
    </row>
    <row r="3678" spans="1:2" x14ac:dyDescent="0.2">
      <c r="A3678">
        <v>-3994.7330029119621</v>
      </c>
      <c r="B3678">
        <v>7669.9043391260493</v>
      </c>
    </row>
    <row r="3679" spans="1:2" x14ac:dyDescent="0.2">
      <c r="A3679">
        <v>10185.281132735719</v>
      </c>
      <c r="B3679">
        <v>7675.3637595827458</v>
      </c>
    </row>
    <row r="3680" spans="1:2" x14ac:dyDescent="0.2">
      <c r="A3680">
        <v>6808.1192694344209</v>
      </c>
      <c r="B3680">
        <v>7680.4150490105967</v>
      </c>
    </row>
    <row r="3681" spans="1:2" x14ac:dyDescent="0.2">
      <c r="A3681">
        <v>8094.0729050990485</v>
      </c>
      <c r="B3681">
        <v>7682.4803478745162</v>
      </c>
    </row>
    <row r="3682" spans="1:2" x14ac:dyDescent="0.2">
      <c r="A3682">
        <v>-965.67810203356203</v>
      </c>
      <c r="B3682">
        <v>7683.5493273480097</v>
      </c>
    </row>
    <row r="3683" spans="1:2" x14ac:dyDescent="0.2">
      <c r="A3683">
        <v>12726.226262017153</v>
      </c>
      <c r="B3683">
        <v>7687.6421958199935</v>
      </c>
    </row>
    <row r="3684" spans="1:2" x14ac:dyDescent="0.2">
      <c r="A3684">
        <v>-7077.1931467654649</v>
      </c>
      <c r="B3684">
        <v>7687.9289360862167</v>
      </c>
    </row>
    <row r="3685" spans="1:2" x14ac:dyDescent="0.2">
      <c r="A3685">
        <v>-9150.0081325253705</v>
      </c>
      <c r="B3685">
        <v>7693.5606861316483</v>
      </c>
    </row>
    <row r="3686" spans="1:2" x14ac:dyDescent="0.2">
      <c r="A3686">
        <v>-3553.3001747973613</v>
      </c>
      <c r="B3686">
        <v>7695.7608496806788</v>
      </c>
    </row>
    <row r="3687" spans="1:2" x14ac:dyDescent="0.2">
      <c r="A3687">
        <v>-6606.6335266714159</v>
      </c>
      <c r="B3687">
        <v>7701.558398088353</v>
      </c>
    </row>
    <row r="3688" spans="1:2" x14ac:dyDescent="0.2">
      <c r="A3688">
        <v>-16966.496064189763</v>
      </c>
      <c r="B3688">
        <v>7708.4238991825259</v>
      </c>
    </row>
    <row r="3689" spans="1:2" x14ac:dyDescent="0.2">
      <c r="A3689">
        <v>-10643.491207066516</v>
      </c>
      <c r="B3689">
        <v>7709.5074001313478</v>
      </c>
    </row>
    <row r="3690" spans="1:2" x14ac:dyDescent="0.2">
      <c r="A3690">
        <v>492.48556006787112</v>
      </c>
      <c r="B3690">
        <v>7715.3344571216148</v>
      </c>
    </row>
    <row r="3691" spans="1:2" x14ac:dyDescent="0.2">
      <c r="A3691">
        <v>-2516.7793282489292</v>
      </c>
      <c r="B3691">
        <v>7722.7629747784231</v>
      </c>
    </row>
    <row r="3692" spans="1:2" x14ac:dyDescent="0.2">
      <c r="A3692">
        <v>9245.1241146227112</v>
      </c>
      <c r="B3692">
        <v>7730.7567660426139</v>
      </c>
    </row>
    <row r="3693" spans="1:2" x14ac:dyDescent="0.2">
      <c r="A3693">
        <v>-2583.3852837887243</v>
      </c>
      <c r="B3693">
        <v>7736.2712643634586</v>
      </c>
    </row>
    <row r="3694" spans="1:2" x14ac:dyDescent="0.2">
      <c r="A3694">
        <v>13483.41958243688</v>
      </c>
      <c r="B3694">
        <v>7756.146820267837</v>
      </c>
    </row>
    <row r="3695" spans="1:2" x14ac:dyDescent="0.2">
      <c r="A3695">
        <v>4007.1590438619023</v>
      </c>
      <c r="B3695">
        <v>7759.7104034501244</v>
      </c>
    </row>
    <row r="3696" spans="1:2" x14ac:dyDescent="0.2">
      <c r="A3696">
        <v>9740.9445590125688</v>
      </c>
      <c r="B3696">
        <v>7762.0324607199582</v>
      </c>
    </row>
    <row r="3697" spans="1:2" x14ac:dyDescent="0.2">
      <c r="A3697">
        <v>-12543.493893725448</v>
      </c>
      <c r="B3697">
        <v>7762.2115028726694</v>
      </c>
    </row>
    <row r="3698" spans="1:2" x14ac:dyDescent="0.2">
      <c r="A3698">
        <v>-4216.9719436012965</v>
      </c>
      <c r="B3698">
        <v>7763.0665368370828</v>
      </c>
    </row>
    <row r="3699" spans="1:2" x14ac:dyDescent="0.2">
      <c r="A3699">
        <v>1135.0673424630659</v>
      </c>
      <c r="B3699">
        <v>7766.434183646692</v>
      </c>
    </row>
    <row r="3700" spans="1:2" x14ac:dyDescent="0.2">
      <c r="A3700">
        <v>-562.46874171990203</v>
      </c>
      <c r="B3700">
        <v>7766.8768194072181</v>
      </c>
    </row>
    <row r="3701" spans="1:2" x14ac:dyDescent="0.2">
      <c r="A3701">
        <v>-4168.8016732159012</v>
      </c>
      <c r="B3701">
        <v>7769.3477252816665</v>
      </c>
    </row>
    <row r="3702" spans="1:2" x14ac:dyDescent="0.2">
      <c r="A3702">
        <v>6633.7570102642057</v>
      </c>
      <c r="B3702">
        <v>7770.2078668723698</v>
      </c>
    </row>
    <row r="3703" spans="1:2" x14ac:dyDescent="0.2">
      <c r="A3703">
        <v>-4665.2946641556046</v>
      </c>
      <c r="B3703">
        <v>7776.3246952330519</v>
      </c>
    </row>
    <row r="3704" spans="1:2" x14ac:dyDescent="0.2">
      <c r="A3704">
        <v>4507.7058369537117</v>
      </c>
      <c r="B3704">
        <v>7780.176219876972</v>
      </c>
    </row>
    <row r="3705" spans="1:2" x14ac:dyDescent="0.2">
      <c r="A3705">
        <v>7335.5529931260098</v>
      </c>
      <c r="B3705">
        <v>7781.6683769340452</v>
      </c>
    </row>
    <row r="3706" spans="1:2" x14ac:dyDescent="0.2">
      <c r="A3706">
        <v>-1904.3793355941307</v>
      </c>
      <c r="B3706">
        <v>7788.3579509568226</v>
      </c>
    </row>
    <row r="3707" spans="1:2" x14ac:dyDescent="0.2">
      <c r="A3707">
        <v>-6058.2395870764158</v>
      </c>
      <c r="B3707">
        <v>7791.3410773675714</v>
      </c>
    </row>
    <row r="3708" spans="1:2" x14ac:dyDescent="0.2">
      <c r="A3708">
        <v>-216.99555177456932</v>
      </c>
      <c r="B3708">
        <v>7792.032006583293</v>
      </c>
    </row>
    <row r="3709" spans="1:2" x14ac:dyDescent="0.2">
      <c r="A3709">
        <v>-651.42506775987567</v>
      </c>
      <c r="B3709">
        <v>7795.2784966424515</v>
      </c>
    </row>
    <row r="3710" spans="1:2" x14ac:dyDescent="0.2">
      <c r="A3710">
        <v>6420.9440222181147</v>
      </c>
      <c r="B3710">
        <v>7795.4856055614364</v>
      </c>
    </row>
    <row r="3711" spans="1:2" x14ac:dyDescent="0.2">
      <c r="A3711">
        <v>7040.9280007084017</v>
      </c>
      <c r="B3711">
        <v>7800.4542941549444</v>
      </c>
    </row>
    <row r="3712" spans="1:2" x14ac:dyDescent="0.2">
      <c r="A3712">
        <v>9808.6443290888565</v>
      </c>
      <c r="B3712">
        <v>7804.2755239961552</v>
      </c>
    </row>
    <row r="3713" spans="1:2" x14ac:dyDescent="0.2">
      <c r="A3713">
        <v>-3166.5714262753609</v>
      </c>
      <c r="B3713">
        <v>7805.8821855139104</v>
      </c>
    </row>
    <row r="3714" spans="1:2" x14ac:dyDescent="0.2">
      <c r="A3714">
        <v>-7384.0525067836279</v>
      </c>
      <c r="B3714">
        <v>7809.87239432559</v>
      </c>
    </row>
    <row r="3715" spans="1:2" x14ac:dyDescent="0.2">
      <c r="A3715">
        <v>312.82128289571847</v>
      </c>
      <c r="B3715">
        <v>7819.9058901987155</v>
      </c>
    </row>
    <row r="3716" spans="1:2" x14ac:dyDescent="0.2">
      <c r="A3716">
        <v>7722.7629747784231</v>
      </c>
      <c r="B3716">
        <v>7823.2598187971162</v>
      </c>
    </row>
    <row r="3717" spans="1:2" x14ac:dyDescent="0.2">
      <c r="A3717">
        <v>-13502.074197270558</v>
      </c>
      <c r="B3717">
        <v>7825.325489976618</v>
      </c>
    </row>
    <row r="3718" spans="1:2" x14ac:dyDescent="0.2">
      <c r="A3718">
        <v>-9001.7537018440198</v>
      </c>
      <c r="B3718">
        <v>7826.8736023110396</v>
      </c>
    </row>
    <row r="3719" spans="1:2" x14ac:dyDescent="0.2">
      <c r="A3719">
        <v>-3359.289950071834</v>
      </c>
      <c r="B3719">
        <v>7828.3476051084726</v>
      </c>
    </row>
    <row r="3720" spans="1:2" x14ac:dyDescent="0.2">
      <c r="A3720">
        <v>-6541.6347066387534</v>
      </c>
      <c r="B3720">
        <v>7829.7050198526122</v>
      </c>
    </row>
    <row r="3721" spans="1:2" x14ac:dyDescent="0.2">
      <c r="A3721">
        <v>-15948.370395552774</v>
      </c>
      <c r="B3721">
        <v>7836.3057269551209</v>
      </c>
    </row>
    <row r="3722" spans="1:2" x14ac:dyDescent="0.2">
      <c r="A3722">
        <v>-6684.3270196359081</v>
      </c>
      <c r="B3722">
        <v>7837.0878327976097</v>
      </c>
    </row>
    <row r="3723" spans="1:2" x14ac:dyDescent="0.2">
      <c r="A3723">
        <v>-268.65278146753553</v>
      </c>
      <c r="B3723">
        <v>7842.1794639343279</v>
      </c>
    </row>
    <row r="3724" spans="1:2" x14ac:dyDescent="0.2">
      <c r="A3724">
        <v>3906.9210999289644</v>
      </c>
      <c r="B3724">
        <v>7845.2761018211313</v>
      </c>
    </row>
    <row r="3725" spans="1:2" x14ac:dyDescent="0.2">
      <c r="A3725">
        <v>7313.1372224278166</v>
      </c>
      <c r="B3725">
        <v>7849.8686356839607</v>
      </c>
    </row>
    <row r="3726" spans="1:2" x14ac:dyDescent="0.2">
      <c r="A3726">
        <v>14173.849578372494</v>
      </c>
      <c r="B3726">
        <v>7857.2649190069933</v>
      </c>
    </row>
    <row r="3727" spans="1:2" x14ac:dyDescent="0.2">
      <c r="A3727">
        <v>10730.069572529348</v>
      </c>
      <c r="B3727">
        <v>7860.1232205402339</v>
      </c>
    </row>
    <row r="3728" spans="1:2" x14ac:dyDescent="0.2">
      <c r="A3728">
        <v>-1633.7218764582649</v>
      </c>
      <c r="B3728">
        <v>7861.7032628461893</v>
      </c>
    </row>
    <row r="3729" spans="1:2" x14ac:dyDescent="0.2">
      <c r="A3729">
        <v>-1268.9272288881475</v>
      </c>
      <c r="B3729">
        <v>7864.0794685700967</v>
      </c>
    </row>
    <row r="3730" spans="1:2" x14ac:dyDescent="0.2">
      <c r="A3730">
        <v>-15050.775969695766</v>
      </c>
      <c r="B3730">
        <v>7884.4302203151165</v>
      </c>
    </row>
    <row r="3731" spans="1:2" x14ac:dyDescent="0.2">
      <c r="A3731">
        <v>-8473.701565344003</v>
      </c>
      <c r="B3731">
        <v>7886.1181800207996</v>
      </c>
    </row>
    <row r="3732" spans="1:2" x14ac:dyDescent="0.2">
      <c r="A3732">
        <v>17401.400952755997</v>
      </c>
      <c r="B3732">
        <v>7887.1474218459916</v>
      </c>
    </row>
    <row r="3733" spans="1:2" x14ac:dyDescent="0.2">
      <c r="A3733">
        <v>1858.2972736135125</v>
      </c>
      <c r="B3733">
        <v>7913.7061268865073</v>
      </c>
    </row>
    <row r="3734" spans="1:2" x14ac:dyDescent="0.2">
      <c r="A3734">
        <v>8355.509749486926</v>
      </c>
      <c r="B3734">
        <v>7919.3227199955727</v>
      </c>
    </row>
    <row r="3735" spans="1:2" x14ac:dyDescent="0.2">
      <c r="A3735">
        <v>-1443.6319065265707</v>
      </c>
      <c r="B3735">
        <v>7927.3088689656579</v>
      </c>
    </row>
    <row r="3736" spans="1:2" x14ac:dyDescent="0.2">
      <c r="A3736">
        <v>-1989.2309290565609</v>
      </c>
      <c r="B3736">
        <v>7941.6200264497893</v>
      </c>
    </row>
    <row r="3737" spans="1:2" x14ac:dyDescent="0.2">
      <c r="A3737">
        <v>-9288.3333552044351</v>
      </c>
      <c r="B3737">
        <v>7953.9583782490809</v>
      </c>
    </row>
    <row r="3738" spans="1:2" x14ac:dyDescent="0.2">
      <c r="A3738">
        <v>441.00673298083711</v>
      </c>
      <c r="B3738">
        <v>7963.1091989632987</v>
      </c>
    </row>
    <row r="3739" spans="1:2" x14ac:dyDescent="0.2">
      <c r="A3739">
        <v>6959.2015201589675</v>
      </c>
      <c r="B3739">
        <v>7975.6047060534474</v>
      </c>
    </row>
    <row r="3740" spans="1:2" x14ac:dyDescent="0.2">
      <c r="A3740">
        <v>2149.1283874738729</v>
      </c>
      <c r="B3740">
        <v>7978.4645555696916</v>
      </c>
    </row>
    <row r="3741" spans="1:2" x14ac:dyDescent="0.2">
      <c r="A3741">
        <v>18662.257841410581</v>
      </c>
      <c r="B3741">
        <v>7980.6208755588741</v>
      </c>
    </row>
    <row r="3742" spans="1:2" x14ac:dyDescent="0.2">
      <c r="A3742">
        <v>8478.0941818453721</v>
      </c>
      <c r="B3742">
        <v>7983.2286458431045</v>
      </c>
    </row>
    <row r="3743" spans="1:2" x14ac:dyDescent="0.2">
      <c r="A3743">
        <v>2142.9831979878072</v>
      </c>
      <c r="B3743">
        <v>7992.0080470882822</v>
      </c>
    </row>
    <row r="3744" spans="1:2" x14ac:dyDescent="0.2">
      <c r="A3744">
        <v>4152.5800985053647</v>
      </c>
      <c r="B3744">
        <v>7999.4443592408497</v>
      </c>
    </row>
    <row r="3745" spans="1:2" x14ac:dyDescent="0.2">
      <c r="A3745">
        <v>-11200.797792384168</v>
      </c>
      <c r="B3745">
        <v>8000.3403353209142</v>
      </c>
    </row>
    <row r="3746" spans="1:2" x14ac:dyDescent="0.2">
      <c r="A3746">
        <v>-16410.789805385284</v>
      </c>
      <c r="B3746">
        <v>8002.4839914047043</v>
      </c>
    </row>
    <row r="3747" spans="1:2" x14ac:dyDescent="0.2">
      <c r="A3747">
        <v>-9212.8895112927421</v>
      </c>
      <c r="B3747">
        <v>8003.7602889538975</v>
      </c>
    </row>
    <row r="3748" spans="1:2" x14ac:dyDescent="0.2">
      <c r="A3748">
        <v>2055.464474936889</v>
      </c>
      <c r="B3748">
        <v>8009.0164403808885</v>
      </c>
    </row>
    <row r="3749" spans="1:2" x14ac:dyDescent="0.2">
      <c r="A3749">
        <v>-12126.32373326915</v>
      </c>
      <c r="B3749">
        <v>8019.2294094105455</v>
      </c>
    </row>
    <row r="3750" spans="1:2" x14ac:dyDescent="0.2">
      <c r="A3750">
        <v>155.83851687403512</v>
      </c>
      <c r="B3750">
        <v>8044.7810163519462</v>
      </c>
    </row>
    <row r="3751" spans="1:2" x14ac:dyDescent="0.2">
      <c r="A3751">
        <v>7887.1474218459916</v>
      </c>
      <c r="B3751">
        <v>8046.1273860974179</v>
      </c>
    </row>
    <row r="3752" spans="1:2" x14ac:dyDescent="0.2">
      <c r="A3752">
        <v>9674.8122976945888</v>
      </c>
      <c r="B3752">
        <v>8079.1882370684762</v>
      </c>
    </row>
    <row r="3753" spans="1:2" x14ac:dyDescent="0.2">
      <c r="A3753">
        <v>15326.547164706048</v>
      </c>
      <c r="B3753">
        <v>8080.4918520780629</v>
      </c>
    </row>
    <row r="3754" spans="1:2" x14ac:dyDescent="0.2">
      <c r="A3754">
        <v>17164.487199839379</v>
      </c>
      <c r="B3754">
        <v>8081.6632118941052</v>
      </c>
    </row>
    <row r="3755" spans="1:2" x14ac:dyDescent="0.2">
      <c r="A3755">
        <v>-9471.0359664505231</v>
      </c>
      <c r="B3755">
        <v>8084.3468697099306</v>
      </c>
    </row>
    <row r="3756" spans="1:2" x14ac:dyDescent="0.2">
      <c r="A3756">
        <v>1610.7644738260424</v>
      </c>
      <c r="B3756">
        <v>8085.2298189903668</v>
      </c>
    </row>
    <row r="3757" spans="1:2" x14ac:dyDescent="0.2">
      <c r="A3757">
        <v>1711.0229245108203</v>
      </c>
      <c r="B3757">
        <v>8089.7252424685867</v>
      </c>
    </row>
    <row r="3758" spans="1:2" x14ac:dyDescent="0.2">
      <c r="A3758">
        <v>-23636.049239792977</v>
      </c>
      <c r="B3758">
        <v>8090.1644785073586</v>
      </c>
    </row>
    <row r="3759" spans="1:2" x14ac:dyDescent="0.2">
      <c r="A3759">
        <v>6516.8181405543583</v>
      </c>
      <c r="B3759">
        <v>8094.0729050990485</v>
      </c>
    </row>
    <row r="3760" spans="1:2" x14ac:dyDescent="0.2">
      <c r="A3760">
        <v>9960.1953777857998</v>
      </c>
      <c r="B3760">
        <v>8107.0097384690889</v>
      </c>
    </row>
    <row r="3761" spans="1:2" x14ac:dyDescent="0.2">
      <c r="A3761">
        <v>-5738.2280148301215</v>
      </c>
      <c r="B3761">
        <v>8107.6378327215789</v>
      </c>
    </row>
    <row r="3762" spans="1:2" x14ac:dyDescent="0.2">
      <c r="A3762">
        <v>16101.050623939926</v>
      </c>
      <c r="B3762">
        <v>8108.2491503280762</v>
      </c>
    </row>
    <row r="3763" spans="1:2" x14ac:dyDescent="0.2">
      <c r="A3763">
        <v>1372.9852421579126</v>
      </c>
      <c r="B3763">
        <v>8110.4092403367395</v>
      </c>
    </row>
    <row r="3764" spans="1:2" x14ac:dyDescent="0.2">
      <c r="A3764">
        <v>-4406.4103079902125</v>
      </c>
      <c r="B3764">
        <v>8132.0870136941376</v>
      </c>
    </row>
    <row r="3765" spans="1:2" x14ac:dyDescent="0.2">
      <c r="A3765">
        <v>-4373.4888790880213</v>
      </c>
      <c r="B3765">
        <v>8150.2669154838077</v>
      </c>
    </row>
    <row r="3766" spans="1:2" x14ac:dyDescent="0.2">
      <c r="A3766">
        <v>4734.5114429196692</v>
      </c>
      <c r="B3766">
        <v>8158.558737245563</v>
      </c>
    </row>
    <row r="3767" spans="1:2" x14ac:dyDescent="0.2">
      <c r="A3767">
        <v>12664.950336763053</v>
      </c>
      <c r="B3767">
        <v>8165.0462234416045</v>
      </c>
    </row>
    <row r="3768" spans="1:2" x14ac:dyDescent="0.2">
      <c r="A3768">
        <v>-4999.5565613985236</v>
      </c>
      <c r="B3768">
        <v>8170.1533204684965</v>
      </c>
    </row>
    <row r="3769" spans="1:2" x14ac:dyDescent="0.2">
      <c r="A3769">
        <v>3851.9511176732194</v>
      </c>
      <c r="B3769">
        <v>8174.3323144190363</v>
      </c>
    </row>
    <row r="3770" spans="1:2" x14ac:dyDescent="0.2">
      <c r="A3770">
        <v>-3886.6494646026986</v>
      </c>
      <c r="B3770">
        <v>8185.9368645716459</v>
      </c>
    </row>
    <row r="3771" spans="1:2" x14ac:dyDescent="0.2">
      <c r="A3771">
        <v>21455.491323579714</v>
      </c>
      <c r="B3771">
        <v>8195.9750034801837</v>
      </c>
    </row>
    <row r="3772" spans="1:2" x14ac:dyDescent="0.2">
      <c r="A3772">
        <v>-9641.1822787271813</v>
      </c>
      <c r="B3772">
        <v>8197.0474386658752</v>
      </c>
    </row>
    <row r="3773" spans="1:2" x14ac:dyDescent="0.2">
      <c r="A3773">
        <v>-204.1230341696064</v>
      </c>
      <c r="B3773">
        <v>8202.6218711847323</v>
      </c>
    </row>
    <row r="3774" spans="1:2" x14ac:dyDescent="0.2">
      <c r="A3774">
        <v>-3969.0451706686872</v>
      </c>
      <c r="B3774">
        <v>8205.4278478836059</v>
      </c>
    </row>
    <row r="3775" spans="1:2" x14ac:dyDescent="0.2">
      <c r="A3775">
        <v>-7228.8716838483233</v>
      </c>
      <c r="B3775">
        <v>8218.409393350099</v>
      </c>
    </row>
    <row r="3776" spans="1:2" x14ac:dyDescent="0.2">
      <c r="A3776">
        <v>-5152.6364676691301</v>
      </c>
      <c r="B3776">
        <v>8224.0288323624991</v>
      </c>
    </row>
    <row r="3777" spans="1:2" x14ac:dyDescent="0.2">
      <c r="A3777">
        <v>-8813.9672879368882</v>
      </c>
      <c r="B3777">
        <v>8232.3411165588477</v>
      </c>
    </row>
    <row r="3778" spans="1:2" x14ac:dyDescent="0.2">
      <c r="A3778">
        <v>-84.03454450564459</v>
      </c>
      <c r="B3778">
        <v>8237.8200347407546</v>
      </c>
    </row>
    <row r="3779" spans="1:2" x14ac:dyDescent="0.2">
      <c r="A3779">
        <v>6182.5752683937899</v>
      </c>
      <c r="B3779">
        <v>8242.3605858265073</v>
      </c>
    </row>
    <row r="3780" spans="1:2" x14ac:dyDescent="0.2">
      <c r="A3780">
        <v>-2590.0638412700209</v>
      </c>
      <c r="B3780">
        <v>8243.3344609768537</v>
      </c>
    </row>
    <row r="3781" spans="1:2" x14ac:dyDescent="0.2">
      <c r="A3781">
        <v>10420.099060344102</v>
      </c>
      <c r="B3781">
        <v>8244.7725530955358</v>
      </c>
    </row>
    <row r="3782" spans="1:2" x14ac:dyDescent="0.2">
      <c r="A3782">
        <v>5939.5190393937519</v>
      </c>
      <c r="B3782">
        <v>8255.6112850240315</v>
      </c>
    </row>
    <row r="3783" spans="1:2" x14ac:dyDescent="0.2">
      <c r="A3783">
        <v>19522.007469954842</v>
      </c>
      <c r="B3783">
        <v>8259.4033522176906</v>
      </c>
    </row>
    <row r="3784" spans="1:2" x14ac:dyDescent="0.2">
      <c r="A3784">
        <v>-25616.267491266568</v>
      </c>
      <c r="B3784">
        <v>8262.8934942032793</v>
      </c>
    </row>
    <row r="3785" spans="1:2" x14ac:dyDescent="0.2">
      <c r="A3785">
        <v>15833.245199484169</v>
      </c>
      <c r="B3785">
        <v>8264.7678808231722</v>
      </c>
    </row>
    <row r="3786" spans="1:2" x14ac:dyDescent="0.2">
      <c r="A3786">
        <v>3681.0095610478311</v>
      </c>
      <c r="B3786">
        <v>8281.4995956489001</v>
      </c>
    </row>
    <row r="3787" spans="1:2" x14ac:dyDescent="0.2">
      <c r="A3787">
        <v>4461.0699707097374</v>
      </c>
      <c r="B3787">
        <v>8295.7419007031422</v>
      </c>
    </row>
    <row r="3788" spans="1:2" x14ac:dyDescent="0.2">
      <c r="A3788">
        <v>6977.5795469311706</v>
      </c>
      <c r="B3788">
        <v>8306.3039403287985</v>
      </c>
    </row>
    <row r="3789" spans="1:2" x14ac:dyDescent="0.2">
      <c r="A3789">
        <v>-6197.955243621429</v>
      </c>
      <c r="B3789">
        <v>8308.1413406825159</v>
      </c>
    </row>
    <row r="3790" spans="1:2" x14ac:dyDescent="0.2">
      <c r="A3790">
        <v>4123.239052034216</v>
      </c>
      <c r="B3790">
        <v>8309.4699377403304</v>
      </c>
    </row>
    <row r="3791" spans="1:2" x14ac:dyDescent="0.2">
      <c r="A3791">
        <v>5777.9378614231246</v>
      </c>
      <c r="B3791">
        <v>8313.0945330568356</v>
      </c>
    </row>
    <row r="3792" spans="1:2" x14ac:dyDescent="0.2">
      <c r="A3792">
        <v>11905.998571572069</v>
      </c>
      <c r="B3792">
        <v>8313.5329377026646</v>
      </c>
    </row>
    <row r="3793" spans="1:2" x14ac:dyDescent="0.2">
      <c r="A3793">
        <v>1073.8902075815131</v>
      </c>
      <c r="B3793">
        <v>8326.1211779777659</v>
      </c>
    </row>
    <row r="3794" spans="1:2" x14ac:dyDescent="0.2">
      <c r="A3794">
        <v>-14217.943481919414</v>
      </c>
      <c r="B3794">
        <v>8327.4176788609475</v>
      </c>
    </row>
    <row r="3795" spans="1:2" x14ac:dyDescent="0.2">
      <c r="A3795">
        <v>-3084.2020148246083</v>
      </c>
      <c r="B3795">
        <v>8347.9979805022012</v>
      </c>
    </row>
    <row r="3796" spans="1:2" x14ac:dyDescent="0.2">
      <c r="A3796">
        <v>-3067.9984086744662</v>
      </c>
      <c r="B3796">
        <v>8348.3994304625667</v>
      </c>
    </row>
    <row r="3797" spans="1:2" x14ac:dyDescent="0.2">
      <c r="A3797">
        <v>-8527.3923102541012</v>
      </c>
      <c r="B3797">
        <v>8355.509749486926</v>
      </c>
    </row>
    <row r="3798" spans="1:2" x14ac:dyDescent="0.2">
      <c r="A3798">
        <v>-11795.429385988915</v>
      </c>
      <c r="B3798">
        <v>8363.0741814683424</v>
      </c>
    </row>
    <row r="3799" spans="1:2" x14ac:dyDescent="0.2">
      <c r="A3799">
        <v>-14662.070073882758</v>
      </c>
      <c r="B3799">
        <v>8377.1095217245747</v>
      </c>
    </row>
    <row r="3800" spans="1:2" x14ac:dyDescent="0.2">
      <c r="A3800">
        <v>1097.4845754482667</v>
      </c>
      <c r="B3800">
        <v>8384.6190258219722</v>
      </c>
    </row>
    <row r="3801" spans="1:2" x14ac:dyDescent="0.2">
      <c r="A3801">
        <v>1040.1143243054394</v>
      </c>
      <c r="B3801">
        <v>8384.9207137961057</v>
      </c>
    </row>
    <row r="3802" spans="1:2" x14ac:dyDescent="0.2">
      <c r="A3802">
        <v>-1459.4956910665787</v>
      </c>
      <c r="B3802">
        <v>8427.2758323803719</v>
      </c>
    </row>
    <row r="3803" spans="1:2" x14ac:dyDescent="0.2">
      <c r="A3803">
        <v>-23469.488097639696</v>
      </c>
      <c r="B3803">
        <v>8427.3175842424098</v>
      </c>
    </row>
    <row r="3804" spans="1:2" x14ac:dyDescent="0.2">
      <c r="A3804">
        <v>-3773.042905984621</v>
      </c>
      <c r="B3804">
        <v>8433.6686357868602</v>
      </c>
    </row>
    <row r="3805" spans="1:2" x14ac:dyDescent="0.2">
      <c r="A3805">
        <v>4018.1767097373959</v>
      </c>
      <c r="B3805">
        <v>8448.4472936017264</v>
      </c>
    </row>
    <row r="3806" spans="1:2" x14ac:dyDescent="0.2">
      <c r="A3806">
        <v>2579.1616525751597</v>
      </c>
      <c r="B3806">
        <v>8448.9232349524973</v>
      </c>
    </row>
    <row r="3807" spans="1:2" x14ac:dyDescent="0.2">
      <c r="A3807">
        <v>-22194.719980619382</v>
      </c>
      <c r="B3807">
        <v>8450.0932442754565</v>
      </c>
    </row>
    <row r="3808" spans="1:2" x14ac:dyDescent="0.2">
      <c r="A3808">
        <v>-11009.017590463744</v>
      </c>
      <c r="B3808">
        <v>8461.0946035733796</v>
      </c>
    </row>
    <row r="3809" spans="1:2" x14ac:dyDescent="0.2">
      <c r="A3809">
        <v>-10313.461331194005</v>
      </c>
      <c r="B3809">
        <v>8462.0220533135289</v>
      </c>
    </row>
    <row r="3810" spans="1:2" x14ac:dyDescent="0.2">
      <c r="A3810">
        <v>-1538.1526140777569</v>
      </c>
      <c r="B3810">
        <v>8462.4922937579104</v>
      </c>
    </row>
    <row r="3811" spans="1:2" x14ac:dyDescent="0.2">
      <c r="A3811">
        <v>-22663.103681286331</v>
      </c>
      <c r="B3811">
        <v>8472.6893760832609</v>
      </c>
    </row>
    <row r="3812" spans="1:2" x14ac:dyDescent="0.2">
      <c r="A3812">
        <v>-224.79660475152195</v>
      </c>
      <c r="B3812">
        <v>8477.6345304911083</v>
      </c>
    </row>
    <row r="3813" spans="1:2" x14ac:dyDescent="0.2">
      <c r="A3813">
        <v>4849.8082387081231</v>
      </c>
      <c r="B3813">
        <v>8478.0941818453721</v>
      </c>
    </row>
    <row r="3814" spans="1:2" x14ac:dyDescent="0.2">
      <c r="A3814">
        <v>5893.5915069911862</v>
      </c>
      <c r="B3814">
        <v>8481.2112655551755</v>
      </c>
    </row>
    <row r="3815" spans="1:2" x14ac:dyDescent="0.2">
      <c r="A3815">
        <v>-479.73928952531423</v>
      </c>
      <c r="B3815">
        <v>8483.1790104249376</v>
      </c>
    </row>
    <row r="3816" spans="1:2" x14ac:dyDescent="0.2">
      <c r="A3816">
        <v>7450.5351765408705</v>
      </c>
      <c r="B3816">
        <v>8489.6495728455193</v>
      </c>
    </row>
    <row r="3817" spans="1:2" x14ac:dyDescent="0.2">
      <c r="A3817">
        <v>6413.7050174355682</v>
      </c>
      <c r="B3817">
        <v>8491.7740902711521</v>
      </c>
    </row>
    <row r="3818" spans="1:2" x14ac:dyDescent="0.2">
      <c r="A3818">
        <v>4642.8360206143698</v>
      </c>
      <c r="B3818">
        <v>8499.7233769983868</v>
      </c>
    </row>
    <row r="3819" spans="1:2" x14ac:dyDescent="0.2">
      <c r="A3819">
        <v>7919.3227199955727</v>
      </c>
      <c r="B3819">
        <v>8516.3003383550677</v>
      </c>
    </row>
    <row r="3820" spans="1:2" x14ac:dyDescent="0.2">
      <c r="A3820">
        <v>9066.9565880719456</v>
      </c>
      <c r="B3820">
        <v>8520.4742567539797</v>
      </c>
    </row>
    <row r="3821" spans="1:2" x14ac:dyDescent="0.2">
      <c r="A3821">
        <v>8000.3403353209142</v>
      </c>
      <c r="B3821">
        <v>8524.2341679200472</v>
      </c>
    </row>
    <row r="3822" spans="1:2" x14ac:dyDescent="0.2">
      <c r="A3822">
        <v>23637.402627581148</v>
      </c>
      <c r="B3822">
        <v>8524.6821527495049</v>
      </c>
    </row>
    <row r="3823" spans="1:2" x14ac:dyDescent="0.2">
      <c r="A3823">
        <v>-10783.860358912701</v>
      </c>
      <c r="B3823">
        <v>8525.3895537036296</v>
      </c>
    </row>
    <row r="3824" spans="1:2" x14ac:dyDescent="0.2">
      <c r="A3824">
        <v>-2502.9268818275887</v>
      </c>
      <c r="B3824">
        <v>8525.8830529905972</v>
      </c>
    </row>
    <row r="3825" spans="1:2" x14ac:dyDescent="0.2">
      <c r="A3825">
        <v>12423.477483913361</v>
      </c>
      <c r="B3825">
        <v>8538.4617233001045</v>
      </c>
    </row>
    <row r="3826" spans="1:2" x14ac:dyDescent="0.2">
      <c r="A3826">
        <v>10547.120472414885</v>
      </c>
      <c r="B3826">
        <v>8539.0777903586859</v>
      </c>
    </row>
    <row r="3827" spans="1:2" x14ac:dyDescent="0.2">
      <c r="A3827">
        <v>15430.272843138955</v>
      </c>
      <c r="B3827">
        <v>8542.1137930733385</v>
      </c>
    </row>
    <row r="3828" spans="1:2" x14ac:dyDescent="0.2">
      <c r="A3828">
        <v>20.596212389122229</v>
      </c>
      <c r="B3828">
        <v>8543.3276025278901</v>
      </c>
    </row>
    <row r="3829" spans="1:2" x14ac:dyDescent="0.2">
      <c r="A3829">
        <v>9180.3032026450383</v>
      </c>
      <c r="B3829">
        <v>8547.6067819103482</v>
      </c>
    </row>
    <row r="3830" spans="1:2" x14ac:dyDescent="0.2">
      <c r="A3830">
        <v>9172.2566190401558</v>
      </c>
      <c r="B3830">
        <v>8548.2352819980006</v>
      </c>
    </row>
    <row r="3831" spans="1:2" x14ac:dyDescent="0.2">
      <c r="A3831">
        <v>-877.92866942420369</v>
      </c>
      <c r="B3831">
        <v>8569.8761380360811</v>
      </c>
    </row>
    <row r="3832" spans="1:2" x14ac:dyDescent="0.2">
      <c r="A3832">
        <v>11508.201720395649</v>
      </c>
      <c r="B3832">
        <v>8585.0472831303196</v>
      </c>
    </row>
    <row r="3833" spans="1:2" x14ac:dyDescent="0.2">
      <c r="A3833">
        <v>484.76990379526978</v>
      </c>
      <c r="B3833">
        <v>8585.2707953643112</v>
      </c>
    </row>
    <row r="3834" spans="1:2" x14ac:dyDescent="0.2">
      <c r="A3834">
        <v>-7257.8549058271456</v>
      </c>
      <c r="B3834">
        <v>8586.6634353243862</v>
      </c>
    </row>
    <row r="3835" spans="1:2" x14ac:dyDescent="0.2">
      <c r="A3835">
        <v>5034.9207635324274</v>
      </c>
      <c r="B3835">
        <v>8587.0347273028165</v>
      </c>
    </row>
    <row r="3836" spans="1:2" x14ac:dyDescent="0.2">
      <c r="A3836">
        <v>-3389.1512656939449</v>
      </c>
      <c r="B3836">
        <v>8595.4486052216671</v>
      </c>
    </row>
    <row r="3837" spans="1:2" x14ac:dyDescent="0.2">
      <c r="A3837">
        <v>3113.7528874381678</v>
      </c>
      <c r="B3837">
        <v>8597.5239024204784</v>
      </c>
    </row>
    <row r="3838" spans="1:2" x14ac:dyDescent="0.2">
      <c r="A3838">
        <v>-9974.1292224243516</v>
      </c>
      <c r="B3838">
        <v>8600.5512739713595</v>
      </c>
    </row>
    <row r="3839" spans="1:2" x14ac:dyDescent="0.2">
      <c r="A3839">
        <v>19805.057751755259</v>
      </c>
      <c r="B3839">
        <v>8610.5278186705254</v>
      </c>
    </row>
    <row r="3840" spans="1:2" x14ac:dyDescent="0.2">
      <c r="A3840">
        <v>12062.973178204731</v>
      </c>
      <c r="B3840">
        <v>8627.6322702096077</v>
      </c>
    </row>
    <row r="3841" spans="1:2" x14ac:dyDescent="0.2">
      <c r="A3841">
        <v>3566.334438904014</v>
      </c>
      <c r="B3841">
        <v>8632.9228352915088</v>
      </c>
    </row>
    <row r="3842" spans="1:2" x14ac:dyDescent="0.2">
      <c r="A3842">
        <v>-1999.6509993846994</v>
      </c>
      <c r="B3842">
        <v>8645.2001931335544</v>
      </c>
    </row>
    <row r="3843" spans="1:2" x14ac:dyDescent="0.2">
      <c r="A3843">
        <v>6321.9626042788732</v>
      </c>
      <c r="B3843">
        <v>8653.5461114292848</v>
      </c>
    </row>
    <row r="3844" spans="1:2" x14ac:dyDescent="0.2">
      <c r="A3844">
        <v>-3690.0212904722721</v>
      </c>
      <c r="B3844">
        <v>8661.559276712971</v>
      </c>
    </row>
    <row r="3845" spans="1:2" x14ac:dyDescent="0.2">
      <c r="A3845">
        <v>-4072.1844065646001</v>
      </c>
      <c r="B3845">
        <v>8664.0025829267106</v>
      </c>
    </row>
    <row r="3846" spans="1:2" x14ac:dyDescent="0.2">
      <c r="A3846">
        <v>3537.4674151737709</v>
      </c>
      <c r="B3846">
        <v>8666.084976974671</v>
      </c>
    </row>
    <row r="3847" spans="1:2" x14ac:dyDescent="0.2">
      <c r="A3847">
        <v>-13250.625663290557</v>
      </c>
      <c r="B3847">
        <v>8666.3954392477171</v>
      </c>
    </row>
    <row r="3848" spans="1:2" x14ac:dyDescent="0.2">
      <c r="A3848">
        <v>-14617.5865643734</v>
      </c>
      <c r="B3848">
        <v>8677.9371540879365</v>
      </c>
    </row>
    <row r="3849" spans="1:2" x14ac:dyDescent="0.2">
      <c r="A3849">
        <v>20224.163618441409</v>
      </c>
      <c r="B3849">
        <v>8696.1429013677407</v>
      </c>
    </row>
    <row r="3850" spans="1:2" x14ac:dyDescent="0.2">
      <c r="A3850">
        <v>-3640.3925617390196</v>
      </c>
      <c r="B3850">
        <v>8696.3654069088516</v>
      </c>
    </row>
    <row r="3851" spans="1:2" x14ac:dyDescent="0.2">
      <c r="A3851">
        <v>273.05702676516376</v>
      </c>
      <c r="B3851">
        <v>8697.6729061749647</v>
      </c>
    </row>
    <row r="3852" spans="1:2" x14ac:dyDescent="0.2">
      <c r="A3852">
        <v>-3512.6666663270735</v>
      </c>
      <c r="B3852">
        <v>8708.5947032555123</v>
      </c>
    </row>
    <row r="3853" spans="1:2" x14ac:dyDescent="0.2">
      <c r="A3853">
        <v>10105.918919319578</v>
      </c>
      <c r="B3853">
        <v>8714.6121178604662</v>
      </c>
    </row>
    <row r="3854" spans="1:2" x14ac:dyDescent="0.2">
      <c r="A3854">
        <v>-1386.9544626405695</v>
      </c>
      <c r="B3854">
        <v>8721.7969962260104</v>
      </c>
    </row>
    <row r="3855" spans="1:2" x14ac:dyDescent="0.2">
      <c r="A3855">
        <v>-10070.71259634709</v>
      </c>
      <c r="B3855">
        <v>8725.14904665621</v>
      </c>
    </row>
    <row r="3856" spans="1:2" x14ac:dyDescent="0.2">
      <c r="A3856">
        <v>-3909.6063626033138</v>
      </c>
      <c r="B3856">
        <v>8728.8693167068996</v>
      </c>
    </row>
    <row r="3857" spans="1:2" x14ac:dyDescent="0.2">
      <c r="A3857">
        <v>3634.1813140628219</v>
      </c>
      <c r="B3857">
        <v>8744.1704976014444</v>
      </c>
    </row>
    <row r="3858" spans="1:2" x14ac:dyDescent="0.2">
      <c r="A3858">
        <v>-8735.6128296278184</v>
      </c>
      <c r="B3858">
        <v>8755.156788589491</v>
      </c>
    </row>
    <row r="3859" spans="1:2" x14ac:dyDescent="0.2">
      <c r="A3859">
        <v>-564.3836775921518</v>
      </c>
      <c r="B3859">
        <v>8764.0919133934949</v>
      </c>
    </row>
    <row r="3860" spans="1:2" x14ac:dyDescent="0.2">
      <c r="A3860">
        <v>26005.862281659152</v>
      </c>
      <c r="B3860">
        <v>8764.0921000223025</v>
      </c>
    </row>
    <row r="3861" spans="1:2" x14ac:dyDescent="0.2">
      <c r="A3861">
        <v>14633.83138685525</v>
      </c>
      <c r="B3861">
        <v>8777.87302068586</v>
      </c>
    </row>
    <row r="3862" spans="1:2" x14ac:dyDescent="0.2">
      <c r="A3862">
        <v>9867.8522507559974</v>
      </c>
      <c r="B3862">
        <v>8780.6425308214093</v>
      </c>
    </row>
    <row r="3863" spans="1:2" x14ac:dyDescent="0.2">
      <c r="A3863">
        <v>10285.877956558601</v>
      </c>
      <c r="B3863">
        <v>8785.1929628381622</v>
      </c>
    </row>
    <row r="3864" spans="1:2" x14ac:dyDescent="0.2">
      <c r="A3864">
        <v>-11626.370390338183</v>
      </c>
      <c r="B3864">
        <v>8788.4167413660616</v>
      </c>
    </row>
    <row r="3865" spans="1:2" x14ac:dyDescent="0.2">
      <c r="A3865">
        <v>-5223.9048732666852</v>
      </c>
      <c r="B3865">
        <v>8790.2325312382309</v>
      </c>
    </row>
    <row r="3866" spans="1:2" x14ac:dyDescent="0.2">
      <c r="A3866">
        <v>-1769.6527336201398</v>
      </c>
      <c r="B3866">
        <v>8790.4137958448846</v>
      </c>
    </row>
    <row r="3867" spans="1:2" x14ac:dyDescent="0.2">
      <c r="A3867">
        <v>-11932.367676947208</v>
      </c>
      <c r="B3867">
        <v>8794.1070749203209</v>
      </c>
    </row>
    <row r="3868" spans="1:2" x14ac:dyDescent="0.2">
      <c r="A3868">
        <v>3457.6747700109263</v>
      </c>
      <c r="B3868">
        <v>8798.4789316195529</v>
      </c>
    </row>
    <row r="3869" spans="1:2" x14ac:dyDescent="0.2">
      <c r="A3869">
        <v>-1227.7419638641295</v>
      </c>
      <c r="B3869">
        <v>8798.942629891797</v>
      </c>
    </row>
    <row r="3870" spans="1:2" x14ac:dyDescent="0.2">
      <c r="A3870">
        <v>-13128.74261569904</v>
      </c>
      <c r="B3870">
        <v>8802.95797254637</v>
      </c>
    </row>
    <row r="3871" spans="1:2" x14ac:dyDescent="0.2">
      <c r="A3871">
        <v>-14572.136034000112</v>
      </c>
      <c r="B3871">
        <v>8812.1768924958888</v>
      </c>
    </row>
    <row r="3872" spans="1:2" x14ac:dyDescent="0.2">
      <c r="A3872">
        <v>9578.8547087555053</v>
      </c>
      <c r="B3872">
        <v>8813.446357663488</v>
      </c>
    </row>
    <row r="3873" spans="1:2" x14ac:dyDescent="0.2">
      <c r="A3873">
        <v>-17307.701746794104</v>
      </c>
      <c r="B3873">
        <v>8813.7326322739827</v>
      </c>
    </row>
    <row r="3874" spans="1:2" x14ac:dyDescent="0.2">
      <c r="A3874">
        <v>7715.3344571216148</v>
      </c>
      <c r="B3874">
        <v>8818.8699698845448</v>
      </c>
    </row>
    <row r="3875" spans="1:2" x14ac:dyDescent="0.2">
      <c r="A3875">
        <v>6715.5570856451814</v>
      </c>
      <c r="B3875">
        <v>8829.596087372076</v>
      </c>
    </row>
    <row r="3876" spans="1:2" x14ac:dyDescent="0.2">
      <c r="A3876">
        <v>4646.1186475069262</v>
      </c>
      <c r="B3876">
        <v>8836.4161131667788</v>
      </c>
    </row>
    <row r="3877" spans="1:2" x14ac:dyDescent="0.2">
      <c r="A3877">
        <v>14539.263114870409</v>
      </c>
      <c r="B3877">
        <v>8847.1162993108737</v>
      </c>
    </row>
    <row r="3878" spans="1:2" x14ac:dyDescent="0.2">
      <c r="A3878">
        <v>1999.6878540045</v>
      </c>
      <c r="B3878">
        <v>8847.2183313629357</v>
      </c>
    </row>
    <row r="3879" spans="1:2" x14ac:dyDescent="0.2">
      <c r="A3879">
        <v>4923.9415189472784</v>
      </c>
      <c r="B3879">
        <v>8856.0404772216571</v>
      </c>
    </row>
    <row r="3880" spans="1:2" x14ac:dyDescent="0.2">
      <c r="A3880">
        <v>9966.6853084666072</v>
      </c>
      <c r="B3880">
        <v>8856.1740199883643</v>
      </c>
    </row>
    <row r="3881" spans="1:2" x14ac:dyDescent="0.2">
      <c r="A3881">
        <v>1119.0725982607109</v>
      </c>
      <c r="B3881">
        <v>8869.1855138005049</v>
      </c>
    </row>
    <row r="3882" spans="1:2" x14ac:dyDescent="0.2">
      <c r="A3882">
        <v>-87.114600424596574</v>
      </c>
      <c r="B3882">
        <v>8869.8714407443767</v>
      </c>
    </row>
    <row r="3883" spans="1:2" x14ac:dyDescent="0.2">
      <c r="A3883">
        <v>-423.17938532715198</v>
      </c>
      <c r="B3883">
        <v>8870.4689227745112</v>
      </c>
    </row>
    <row r="3884" spans="1:2" x14ac:dyDescent="0.2">
      <c r="A3884">
        <v>5345.4794075908139</v>
      </c>
      <c r="B3884">
        <v>8881.2385955704667</v>
      </c>
    </row>
    <row r="3885" spans="1:2" x14ac:dyDescent="0.2">
      <c r="A3885">
        <v>-1260.6884291480528</v>
      </c>
      <c r="B3885">
        <v>8884.8080718285928</v>
      </c>
    </row>
    <row r="3886" spans="1:2" x14ac:dyDescent="0.2">
      <c r="A3886">
        <v>-14082.202778213948</v>
      </c>
      <c r="B3886">
        <v>8884.9003414101026</v>
      </c>
    </row>
    <row r="3887" spans="1:2" x14ac:dyDescent="0.2">
      <c r="A3887">
        <v>2384.8670614701114</v>
      </c>
      <c r="B3887">
        <v>8894.5068329963251</v>
      </c>
    </row>
    <row r="3888" spans="1:2" x14ac:dyDescent="0.2">
      <c r="A3888">
        <v>3742.4803996308183</v>
      </c>
      <c r="B3888">
        <v>8905.5940865673474</v>
      </c>
    </row>
    <row r="3889" spans="1:2" x14ac:dyDescent="0.2">
      <c r="A3889">
        <v>-7987.0692514755065</v>
      </c>
      <c r="B3889">
        <v>8907.6069778348901</v>
      </c>
    </row>
    <row r="3890" spans="1:2" x14ac:dyDescent="0.2">
      <c r="A3890">
        <v>4202.1354028495261</v>
      </c>
      <c r="B3890">
        <v>8915.2245228497195</v>
      </c>
    </row>
    <row r="3891" spans="1:2" x14ac:dyDescent="0.2">
      <c r="A3891">
        <v>14728.577333986032</v>
      </c>
      <c r="B3891">
        <v>8919.4450132677448</v>
      </c>
    </row>
    <row r="3892" spans="1:2" x14ac:dyDescent="0.2">
      <c r="A3892">
        <v>1873.5201517099631</v>
      </c>
      <c r="B3892">
        <v>8922.6786698834039</v>
      </c>
    </row>
    <row r="3893" spans="1:2" x14ac:dyDescent="0.2">
      <c r="A3893">
        <v>9150.6440404839523</v>
      </c>
      <c r="B3893">
        <v>8927.1720382318017</v>
      </c>
    </row>
    <row r="3894" spans="1:2" x14ac:dyDescent="0.2">
      <c r="A3894">
        <v>6871.9347253841697</v>
      </c>
      <c r="B3894">
        <v>8939.5181228975707</v>
      </c>
    </row>
    <row r="3895" spans="1:2" x14ac:dyDescent="0.2">
      <c r="A3895">
        <v>-312.96383965358837</v>
      </c>
      <c r="B3895">
        <v>8961.285757869482</v>
      </c>
    </row>
    <row r="3896" spans="1:2" x14ac:dyDescent="0.2">
      <c r="A3896">
        <v>2237.3774801798572</v>
      </c>
      <c r="B3896">
        <v>8966.4167999480851</v>
      </c>
    </row>
    <row r="3897" spans="1:2" x14ac:dyDescent="0.2">
      <c r="A3897">
        <v>1641.6839129214932</v>
      </c>
      <c r="B3897">
        <v>8969.3585776536493</v>
      </c>
    </row>
    <row r="3898" spans="1:2" x14ac:dyDescent="0.2">
      <c r="A3898">
        <v>-9864.3672686797217</v>
      </c>
      <c r="B3898">
        <v>8972.4110505494173</v>
      </c>
    </row>
    <row r="3899" spans="1:2" x14ac:dyDescent="0.2">
      <c r="A3899">
        <v>-7371.5238527810434</v>
      </c>
      <c r="B3899">
        <v>8972.6679987812531</v>
      </c>
    </row>
    <row r="3900" spans="1:2" x14ac:dyDescent="0.2">
      <c r="A3900">
        <v>1144.2072740700096</v>
      </c>
      <c r="B3900">
        <v>8982.8080724031606</v>
      </c>
    </row>
    <row r="3901" spans="1:2" x14ac:dyDescent="0.2">
      <c r="A3901">
        <v>-4856.3371472627623</v>
      </c>
      <c r="B3901">
        <v>8988.0180590119853</v>
      </c>
    </row>
    <row r="3902" spans="1:2" x14ac:dyDescent="0.2">
      <c r="A3902">
        <v>2361.6077065550489</v>
      </c>
      <c r="B3902">
        <v>8990.0294755463256</v>
      </c>
    </row>
    <row r="3903" spans="1:2" x14ac:dyDescent="0.2">
      <c r="A3903">
        <v>3019.4024298573495</v>
      </c>
      <c r="B3903">
        <v>8992.7366316409752</v>
      </c>
    </row>
    <row r="3904" spans="1:2" x14ac:dyDescent="0.2">
      <c r="A3904">
        <v>9487.9864440003003</v>
      </c>
      <c r="B3904">
        <v>9002.0571788475499</v>
      </c>
    </row>
    <row r="3905" spans="1:2" x14ac:dyDescent="0.2">
      <c r="A3905">
        <v>-16530.07364971214</v>
      </c>
      <c r="B3905">
        <v>9025.1663947679335</v>
      </c>
    </row>
    <row r="3906" spans="1:2" x14ac:dyDescent="0.2">
      <c r="A3906">
        <v>-6624.096460232453</v>
      </c>
      <c r="B3906">
        <v>9025.7490198163141</v>
      </c>
    </row>
    <row r="3907" spans="1:2" x14ac:dyDescent="0.2">
      <c r="A3907">
        <v>-3474.2663146781852</v>
      </c>
      <c r="B3907">
        <v>9035.7657703314617</v>
      </c>
    </row>
    <row r="3908" spans="1:2" x14ac:dyDescent="0.2">
      <c r="A3908">
        <v>4151.4503635432047</v>
      </c>
      <c r="B3908">
        <v>9036.8162646092533</v>
      </c>
    </row>
    <row r="3909" spans="1:2" x14ac:dyDescent="0.2">
      <c r="A3909">
        <v>-9226.5749919873197</v>
      </c>
      <c r="B3909">
        <v>9042.6869820617139</v>
      </c>
    </row>
    <row r="3910" spans="1:2" x14ac:dyDescent="0.2">
      <c r="A3910">
        <v>14674.617975395231</v>
      </c>
      <c r="B3910">
        <v>9049.4956129697384</v>
      </c>
    </row>
    <row r="3911" spans="1:2" x14ac:dyDescent="0.2">
      <c r="A3911">
        <v>-1582.0939680773881</v>
      </c>
      <c r="B3911">
        <v>9066.9565880719456</v>
      </c>
    </row>
    <row r="3912" spans="1:2" x14ac:dyDescent="0.2">
      <c r="A3912">
        <v>-2989.8739819779876</v>
      </c>
      <c r="B3912">
        <v>9067.7310368245526</v>
      </c>
    </row>
    <row r="3913" spans="1:2" x14ac:dyDescent="0.2">
      <c r="A3913">
        <v>21339.189156081586</v>
      </c>
      <c r="B3913">
        <v>9082.2464501459617</v>
      </c>
    </row>
    <row r="3914" spans="1:2" x14ac:dyDescent="0.2">
      <c r="A3914">
        <v>2808.2624575099617</v>
      </c>
      <c r="B3914">
        <v>9083.698120558809</v>
      </c>
    </row>
    <row r="3915" spans="1:2" x14ac:dyDescent="0.2">
      <c r="A3915">
        <v>3872.8197610294737</v>
      </c>
      <c r="B3915">
        <v>9099.8189503330505</v>
      </c>
    </row>
    <row r="3916" spans="1:2" x14ac:dyDescent="0.2">
      <c r="A3916">
        <v>289.36076920060441</v>
      </c>
      <c r="B3916">
        <v>9101.2504402524501</v>
      </c>
    </row>
    <row r="3917" spans="1:2" x14ac:dyDescent="0.2">
      <c r="A3917">
        <v>16523.212220438669</v>
      </c>
      <c r="B3917">
        <v>9107.420436395827</v>
      </c>
    </row>
    <row r="3918" spans="1:2" x14ac:dyDescent="0.2">
      <c r="A3918">
        <v>1687.8745815644506</v>
      </c>
      <c r="B3918">
        <v>9111.2598724311683</v>
      </c>
    </row>
    <row r="3919" spans="1:2" x14ac:dyDescent="0.2">
      <c r="A3919">
        <v>-6223.842128121003</v>
      </c>
      <c r="B3919">
        <v>9144.8578137072327</v>
      </c>
    </row>
    <row r="3920" spans="1:2" x14ac:dyDescent="0.2">
      <c r="A3920">
        <v>-8971.5253500876424</v>
      </c>
      <c r="B3920">
        <v>9150.6440404839523</v>
      </c>
    </row>
    <row r="3921" spans="1:2" x14ac:dyDescent="0.2">
      <c r="A3921">
        <v>11719.057352681702</v>
      </c>
      <c r="B3921">
        <v>9153.3615982401534</v>
      </c>
    </row>
    <row r="3922" spans="1:2" x14ac:dyDescent="0.2">
      <c r="A3922">
        <v>13431.484040658863</v>
      </c>
      <c r="B3922">
        <v>9159.7066642835271</v>
      </c>
    </row>
    <row r="3923" spans="1:2" x14ac:dyDescent="0.2">
      <c r="A3923">
        <v>783.61900284769945</v>
      </c>
      <c r="B3923">
        <v>9166.8025091377785</v>
      </c>
    </row>
    <row r="3924" spans="1:2" x14ac:dyDescent="0.2">
      <c r="A3924">
        <v>23410.300877994247</v>
      </c>
      <c r="B3924">
        <v>9166.8337428019149</v>
      </c>
    </row>
    <row r="3925" spans="1:2" x14ac:dyDescent="0.2">
      <c r="A3925">
        <v>9260.5211109317606</v>
      </c>
      <c r="B3925">
        <v>9172.2566190401558</v>
      </c>
    </row>
    <row r="3926" spans="1:2" x14ac:dyDescent="0.2">
      <c r="A3926">
        <v>-1375.5693993698223</v>
      </c>
      <c r="B3926">
        <v>9174.697425298451</v>
      </c>
    </row>
    <row r="3927" spans="1:2" x14ac:dyDescent="0.2">
      <c r="A3927">
        <v>5236.7002971660986</v>
      </c>
      <c r="B3927">
        <v>9175.3594266930013</v>
      </c>
    </row>
    <row r="3928" spans="1:2" x14ac:dyDescent="0.2">
      <c r="A3928">
        <v>3662.1590222970117</v>
      </c>
      <c r="B3928">
        <v>9177.5565429660783</v>
      </c>
    </row>
    <row r="3929" spans="1:2" x14ac:dyDescent="0.2">
      <c r="A3929">
        <v>18881.810940000694</v>
      </c>
      <c r="B3929">
        <v>9180.3032026450383</v>
      </c>
    </row>
    <row r="3930" spans="1:2" x14ac:dyDescent="0.2">
      <c r="A3930">
        <v>-4367.0227394835674</v>
      </c>
      <c r="B3930">
        <v>9185.3617370681604</v>
      </c>
    </row>
    <row r="3931" spans="1:2" x14ac:dyDescent="0.2">
      <c r="A3931">
        <v>2493.3823361694522</v>
      </c>
      <c r="B3931">
        <v>9191.157767423836</v>
      </c>
    </row>
    <row r="3932" spans="1:2" x14ac:dyDescent="0.2">
      <c r="A3932">
        <v>-11874.237553576473</v>
      </c>
      <c r="B3932">
        <v>9191.2509274907061</v>
      </c>
    </row>
    <row r="3933" spans="1:2" x14ac:dyDescent="0.2">
      <c r="A3933">
        <v>-3873.2828625477268</v>
      </c>
      <c r="B3933">
        <v>9205.9454438734392</v>
      </c>
    </row>
    <row r="3934" spans="1:2" x14ac:dyDescent="0.2">
      <c r="A3934">
        <v>-11150.016317092581</v>
      </c>
      <c r="B3934">
        <v>9211.2947735988419</v>
      </c>
    </row>
    <row r="3935" spans="1:2" x14ac:dyDescent="0.2">
      <c r="A3935">
        <v>-2068.5522328557563</v>
      </c>
      <c r="B3935">
        <v>9212.985462027631</v>
      </c>
    </row>
    <row r="3936" spans="1:2" x14ac:dyDescent="0.2">
      <c r="A3936">
        <v>1653.1156544575642</v>
      </c>
      <c r="B3936">
        <v>9215.9499510789465</v>
      </c>
    </row>
    <row r="3937" spans="1:2" x14ac:dyDescent="0.2">
      <c r="A3937">
        <v>6543.7330116629018</v>
      </c>
      <c r="B3937">
        <v>9239.3242030204856</v>
      </c>
    </row>
    <row r="3938" spans="1:2" x14ac:dyDescent="0.2">
      <c r="A3938">
        <v>6207.2668645445083</v>
      </c>
      <c r="B3938">
        <v>9245.1241146227112</v>
      </c>
    </row>
    <row r="3939" spans="1:2" x14ac:dyDescent="0.2">
      <c r="A3939">
        <v>776.40402339852881</v>
      </c>
      <c r="B3939">
        <v>9260.5211109317606</v>
      </c>
    </row>
    <row r="3940" spans="1:2" x14ac:dyDescent="0.2">
      <c r="A3940">
        <v>-12666.4812701068</v>
      </c>
      <c r="B3940">
        <v>9279.4543726539705</v>
      </c>
    </row>
    <row r="3941" spans="1:2" x14ac:dyDescent="0.2">
      <c r="A3941">
        <v>4783.1344209907111</v>
      </c>
      <c r="B3941">
        <v>9280.1759577518678</v>
      </c>
    </row>
    <row r="3942" spans="1:2" x14ac:dyDescent="0.2">
      <c r="A3942">
        <v>-13458.450002956844</v>
      </c>
      <c r="B3942">
        <v>9285.9151444127492</v>
      </c>
    </row>
    <row r="3943" spans="1:2" x14ac:dyDescent="0.2">
      <c r="A3943">
        <v>6009.9114130268281</v>
      </c>
      <c r="B3943">
        <v>9287.5869878291851</v>
      </c>
    </row>
    <row r="3944" spans="1:2" x14ac:dyDescent="0.2">
      <c r="A3944">
        <v>-1509.9223368506646</v>
      </c>
      <c r="B3944">
        <v>9287.9271932026604</v>
      </c>
    </row>
    <row r="3945" spans="1:2" x14ac:dyDescent="0.2">
      <c r="A3945">
        <v>14989.462030308743</v>
      </c>
      <c r="B3945">
        <v>9290.515811192512</v>
      </c>
    </row>
    <row r="3946" spans="1:2" x14ac:dyDescent="0.2">
      <c r="A3946">
        <v>2331.3121795990446</v>
      </c>
      <c r="B3946">
        <v>9290.8253499565762</v>
      </c>
    </row>
    <row r="3947" spans="1:2" x14ac:dyDescent="0.2">
      <c r="A3947">
        <v>-5933.7082047279109</v>
      </c>
      <c r="B3947">
        <v>9292.8028673846275</v>
      </c>
    </row>
    <row r="3948" spans="1:2" x14ac:dyDescent="0.2">
      <c r="A3948">
        <v>6563.6154138712154</v>
      </c>
      <c r="B3948">
        <v>9293.9628833673778</v>
      </c>
    </row>
    <row r="3949" spans="1:2" x14ac:dyDescent="0.2">
      <c r="A3949">
        <v>11124.369691106403</v>
      </c>
      <c r="B3949">
        <v>9307.7878921639058</v>
      </c>
    </row>
    <row r="3950" spans="1:2" x14ac:dyDescent="0.2">
      <c r="A3950">
        <v>11990.615828697133</v>
      </c>
      <c r="B3950">
        <v>9308.0185127049335</v>
      </c>
    </row>
    <row r="3951" spans="1:2" x14ac:dyDescent="0.2">
      <c r="A3951">
        <v>-10659.234522303101</v>
      </c>
      <c r="B3951">
        <v>9316.2644963085768</v>
      </c>
    </row>
    <row r="3952" spans="1:2" x14ac:dyDescent="0.2">
      <c r="A3952">
        <v>9360.3378814714961</v>
      </c>
      <c r="B3952">
        <v>9316.784770046972</v>
      </c>
    </row>
    <row r="3953" spans="1:2" x14ac:dyDescent="0.2">
      <c r="A3953">
        <v>13975.175980822503</v>
      </c>
      <c r="B3953">
        <v>9360.3378814714961</v>
      </c>
    </row>
    <row r="3954" spans="1:2" x14ac:dyDescent="0.2">
      <c r="A3954">
        <v>-25883.034940807847</v>
      </c>
      <c r="B3954">
        <v>9362.8947519542999</v>
      </c>
    </row>
    <row r="3955" spans="1:2" x14ac:dyDescent="0.2">
      <c r="A3955">
        <v>7484.8015656117932</v>
      </c>
      <c r="B3955">
        <v>9364.697685675812</v>
      </c>
    </row>
    <row r="3956" spans="1:2" x14ac:dyDescent="0.2">
      <c r="A3956">
        <v>12475.733424239472</v>
      </c>
      <c r="B3956">
        <v>9366.1218662639149</v>
      </c>
    </row>
    <row r="3957" spans="1:2" x14ac:dyDescent="0.2">
      <c r="A3957">
        <v>8798.4789316195529</v>
      </c>
      <c r="B3957">
        <v>9373.0869805019465</v>
      </c>
    </row>
    <row r="3958" spans="1:2" x14ac:dyDescent="0.2">
      <c r="A3958">
        <v>-2169.4090258298093</v>
      </c>
      <c r="B3958">
        <v>9398.9998468323902</v>
      </c>
    </row>
    <row r="3959" spans="1:2" x14ac:dyDescent="0.2">
      <c r="A3959">
        <v>-692.00904519183678</v>
      </c>
      <c r="B3959">
        <v>9402.0922760076064</v>
      </c>
    </row>
    <row r="3960" spans="1:2" x14ac:dyDescent="0.2">
      <c r="A3960">
        <v>-3939.2255982827628</v>
      </c>
      <c r="B3960">
        <v>9403.1395938642963</v>
      </c>
    </row>
    <row r="3961" spans="1:2" x14ac:dyDescent="0.2">
      <c r="A3961">
        <v>-6687.2980191090028</v>
      </c>
      <c r="B3961">
        <v>9404.142996593233</v>
      </c>
    </row>
    <row r="3962" spans="1:2" x14ac:dyDescent="0.2">
      <c r="A3962">
        <v>3894.6668640651915</v>
      </c>
      <c r="B3962">
        <v>9405.8540861667716</v>
      </c>
    </row>
    <row r="3963" spans="1:2" x14ac:dyDescent="0.2">
      <c r="A3963">
        <v>-438.93941317632562</v>
      </c>
      <c r="B3963">
        <v>9424.4214607148897</v>
      </c>
    </row>
    <row r="3964" spans="1:2" x14ac:dyDescent="0.2">
      <c r="A3964">
        <v>8790.4137958448846</v>
      </c>
      <c r="B3964">
        <v>9432.0240794773854</v>
      </c>
    </row>
    <row r="3965" spans="1:2" x14ac:dyDescent="0.2">
      <c r="A3965">
        <v>7263.7938043381146</v>
      </c>
      <c r="B3965">
        <v>9433.7146335479338</v>
      </c>
    </row>
    <row r="3966" spans="1:2" x14ac:dyDescent="0.2">
      <c r="A3966">
        <v>4025.4352851143631</v>
      </c>
      <c r="B3966">
        <v>9438.6828033820202</v>
      </c>
    </row>
    <row r="3967" spans="1:2" x14ac:dyDescent="0.2">
      <c r="A3967">
        <v>-17116.620241449855</v>
      </c>
      <c r="B3967">
        <v>9440.9325604806072</v>
      </c>
    </row>
    <row r="3968" spans="1:2" x14ac:dyDescent="0.2">
      <c r="A3968">
        <v>4200.1979195942404</v>
      </c>
      <c r="B3968">
        <v>9442.1288920550141</v>
      </c>
    </row>
    <row r="3969" spans="1:2" x14ac:dyDescent="0.2">
      <c r="A3969">
        <v>-6416.1754092775809</v>
      </c>
      <c r="B3969">
        <v>9443.2934444824059</v>
      </c>
    </row>
    <row r="3970" spans="1:2" x14ac:dyDescent="0.2">
      <c r="A3970">
        <v>6943.0708150622668</v>
      </c>
      <c r="B3970">
        <v>9444.8340765858884</v>
      </c>
    </row>
    <row r="3971" spans="1:2" x14ac:dyDescent="0.2">
      <c r="A3971">
        <v>-8673.9125584517606</v>
      </c>
      <c r="B3971">
        <v>9453.2094882360543</v>
      </c>
    </row>
    <row r="3972" spans="1:2" x14ac:dyDescent="0.2">
      <c r="A3972">
        <v>3083.3130852848699</v>
      </c>
      <c r="B3972">
        <v>9454.2731631161296</v>
      </c>
    </row>
    <row r="3973" spans="1:2" x14ac:dyDescent="0.2">
      <c r="A3973">
        <v>11149.393138543353</v>
      </c>
      <c r="B3973">
        <v>9462.6990131175844</v>
      </c>
    </row>
    <row r="3974" spans="1:2" x14ac:dyDescent="0.2">
      <c r="A3974">
        <v>1556.069639151392</v>
      </c>
      <c r="B3974">
        <v>9467.2132744382252</v>
      </c>
    </row>
    <row r="3975" spans="1:2" x14ac:dyDescent="0.2">
      <c r="A3975">
        <v>-3526.1362338796025</v>
      </c>
      <c r="B3975">
        <v>9468.0096319688892</v>
      </c>
    </row>
    <row r="3976" spans="1:2" x14ac:dyDescent="0.2">
      <c r="A3976">
        <v>21491.58957946967</v>
      </c>
      <c r="B3976">
        <v>9468.4547653665068</v>
      </c>
    </row>
    <row r="3977" spans="1:2" x14ac:dyDescent="0.2">
      <c r="A3977">
        <v>558.19408248542459</v>
      </c>
      <c r="B3977">
        <v>9486.8185438922956</v>
      </c>
    </row>
    <row r="3978" spans="1:2" x14ac:dyDescent="0.2">
      <c r="A3978">
        <v>-5505.4162429191347</v>
      </c>
      <c r="B3978">
        <v>9487.9864440003003</v>
      </c>
    </row>
    <row r="3979" spans="1:2" x14ac:dyDescent="0.2">
      <c r="A3979">
        <v>-9320.7513204804854</v>
      </c>
      <c r="B3979">
        <v>9491.6732955267944</v>
      </c>
    </row>
    <row r="3980" spans="1:2" x14ac:dyDescent="0.2">
      <c r="A3980">
        <v>8243.3344609768537</v>
      </c>
      <c r="B3980">
        <v>9492.1485023077694</v>
      </c>
    </row>
    <row r="3981" spans="1:2" x14ac:dyDescent="0.2">
      <c r="A3981">
        <v>-22129.960882977466</v>
      </c>
      <c r="B3981">
        <v>9497.6584657933563</v>
      </c>
    </row>
    <row r="3982" spans="1:2" x14ac:dyDescent="0.2">
      <c r="A3982">
        <v>-3130.1209636270069</v>
      </c>
      <c r="B3982">
        <v>9498.2278006048</v>
      </c>
    </row>
    <row r="3983" spans="1:2" x14ac:dyDescent="0.2">
      <c r="A3983">
        <v>19899.656985754176</v>
      </c>
      <c r="B3983">
        <v>9503.8530089868</v>
      </c>
    </row>
    <row r="3984" spans="1:2" x14ac:dyDescent="0.2">
      <c r="A3984">
        <v>-28526.257215932652</v>
      </c>
      <c r="B3984">
        <v>9507.0705313335638</v>
      </c>
    </row>
    <row r="3985" spans="1:2" x14ac:dyDescent="0.2">
      <c r="A3985">
        <v>-16824.230768947164</v>
      </c>
      <c r="B3985">
        <v>9509.0074317360122</v>
      </c>
    </row>
    <row r="3986" spans="1:2" x14ac:dyDescent="0.2">
      <c r="A3986">
        <v>-10668.056214624085</v>
      </c>
      <c r="B3986">
        <v>9510.5761324531049</v>
      </c>
    </row>
    <row r="3987" spans="1:2" x14ac:dyDescent="0.2">
      <c r="A3987">
        <v>11306.696575542272</v>
      </c>
      <c r="B3987">
        <v>9517.5648605116003</v>
      </c>
    </row>
    <row r="3988" spans="1:2" x14ac:dyDescent="0.2">
      <c r="A3988">
        <v>10337.399335440132</v>
      </c>
      <c r="B3988">
        <v>9519.5027268624981</v>
      </c>
    </row>
    <row r="3989" spans="1:2" x14ac:dyDescent="0.2">
      <c r="A3989">
        <v>9881.2262259380077</v>
      </c>
      <c r="B3989">
        <v>9524.8622465477092</v>
      </c>
    </row>
    <row r="3990" spans="1:2" x14ac:dyDescent="0.2">
      <c r="A3990">
        <v>-17553.592063152173</v>
      </c>
      <c r="B3990">
        <v>9532.1666480969143</v>
      </c>
    </row>
    <row r="3991" spans="1:2" x14ac:dyDescent="0.2">
      <c r="A3991">
        <v>5433.7551746974059</v>
      </c>
      <c r="B3991">
        <v>9532.4305110053974</v>
      </c>
    </row>
    <row r="3992" spans="1:2" x14ac:dyDescent="0.2">
      <c r="A3992">
        <v>-828.85277220144053</v>
      </c>
      <c r="B3992">
        <v>9542.9835873629781</v>
      </c>
    </row>
    <row r="3993" spans="1:2" x14ac:dyDescent="0.2">
      <c r="A3993">
        <v>6909.3136312522402</v>
      </c>
      <c r="B3993">
        <v>9549.3776850076101</v>
      </c>
    </row>
    <row r="3994" spans="1:2" x14ac:dyDescent="0.2">
      <c r="A3994">
        <v>-7622.8272254449257</v>
      </c>
      <c r="B3994">
        <v>9551.7427931820857</v>
      </c>
    </row>
    <row r="3995" spans="1:2" x14ac:dyDescent="0.2">
      <c r="A3995">
        <v>28463.442246522463</v>
      </c>
      <c r="B3995">
        <v>9553.5530391623615</v>
      </c>
    </row>
    <row r="3996" spans="1:2" x14ac:dyDescent="0.2">
      <c r="A3996">
        <v>20965.174967584331</v>
      </c>
      <c r="B3996">
        <v>9559.912993955717</v>
      </c>
    </row>
    <row r="3997" spans="1:2" x14ac:dyDescent="0.2">
      <c r="A3997">
        <v>-19504.143478545127</v>
      </c>
      <c r="B3997">
        <v>9563.8125066974899</v>
      </c>
    </row>
    <row r="3998" spans="1:2" x14ac:dyDescent="0.2">
      <c r="A3998">
        <v>-27039.265487411234</v>
      </c>
      <c r="B3998">
        <v>9572.088588889048</v>
      </c>
    </row>
    <row r="3999" spans="1:2" x14ac:dyDescent="0.2">
      <c r="A3999">
        <v>-3921.7798315640539</v>
      </c>
      <c r="B3999">
        <v>9573.3406762959494</v>
      </c>
    </row>
    <row r="4000" spans="1:2" x14ac:dyDescent="0.2">
      <c r="A4000">
        <v>15941.965704274277</v>
      </c>
      <c r="B4000">
        <v>9577.4685122179508</v>
      </c>
    </row>
    <row r="4001" spans="1:2" x14ac:dyDescent="0.2">
      <c r="A4001">
        <v>-4092.3241800664109</v>
      </c>
      <c r="B4001">
        <v>9578.0715796178556</v>
      </c>
    </row>
    <row r="4002" spans="1:2" x14ac:dyDescent="0.2">
      <c r="A4002">
        <v>-2030.2488652948523</v>
      </c>
      <c r="B4002">
        <v>9578.8547087555053</v>
      </c>
    </row>
    <row r="4003" spans="1:2" x14ac:dyDescent="0.2">
      <c r="A4003">
        <v>2085.3460790599347</v>
      </c>
      <c r="B4003">
        <v>9582.7925184584456</v>
      </c>
    </row>
    <row r="4004" spans="1:2" x14ac:dyDescent="0.2">
      <c r="A4004">
        <v>8884.9003414101026</v>
      </c>
      <c r="B4004">
        <v>9585.3409271532146</v>
      </c>
    </row>
    <row r="4005" spans="1:2" x14ac:dyDescent="0.2">
      <c r="A4005">
        <v>-1995.1845584849361</v>
      </c>
      <c r="B4005">
        <v>9628.659757750167</v>
      </c>
    </row>
    <row r="4006" spans="1:2" x14ac:dyDescent="0.2">
      <c r="A4006">
        <v>-24730.557992346468</v>
      </c>
      <c r="B4006">
        <v>9638.2883927579678</v>
      </c>
    </row>
    <row r="4007" spans="1:2" x14ac:dyDescent="0.2">
      <c r="A4007">
        <v>16722.684451255365</v>
      </c>
      <c r="B4007">
        <v>9670.0322283190908</v>
      </c>
    </row>
    <row r="4008" spans="1:2" x14ac:dyDescent="0.2">
      <c r="A4008">
        <v>218.1664945735829</v>
      </c>
      <c r="B4008">
        <v>9673.7042077160149</v>
      </c>
    </row>
    <row r="4009" spans="1:2" x14ac:dyDescent="0.2">
      <c r="A4009">
        <v>5082.4865719876252</v>
      </c>
      <c r="B4009">
        <v>9674.8122976945888</v>
      </c>
    </row>
    <row r="4010" spans="1:2" x14ac:dyDescent="0.2">
      <c r="A4010">
        <v>1122.9217129634926</v>
      </c>
      <c r="B4010">
        <v>9679.7147953156382</v>
      </c>
    </row>
    <row r="4011" spans="1:2" x14ac:dyDescent="0.2">
      <c r="A4011">
        <v>6145.755005530722</v>
      </c>
      <c r="B4011">
        <v>9693.6895097880624</v>
      </c>
    </row>
    <row r="4012" spans="1:2" x14ac:dyDescent="0.2">
      <c r="A4012">
        <v>11549.036380588106</v>
      </c>
      <c r="B4012">
        <v>9701.8045500027365</v>
      </c>
    </row>
    <row r="4013" spans="1:2" x14ac:dyDescent="0.2">
      <c r="A4013">
        <v>-8179.935097359994</v>
      </c>
      <c r="B4013">
        <v>9702.3116836550762</v>
      </c>
    </row>
    <row r="4014" spans="1:2" x14ac:dyDescent="0.2">
      <c r="A4014">
        <v>-15164.29175288073</v>
      </c>
      <c r="B4014">
        <v>9705.2652253559791</v>
      </c>
    </row>
    <row r="4015" spans="1:2" x14ac:dyDescent="0.2">
      <c r="A4015">
        <v>-12350.669450850779</v>
      </c>
      <c r="B4015">
        <v>9706.0873840206186</v>
      </c>
    </row>
    <row r="4016" spans="1:2" x14ac:dyDescent="0.2">
      <c r="A4016">
        <v>-8219.9331295939628</v>
      </c>
      <c r="B4016">
        <v>9706.1882889564149</v>
      </c>
    </row>
    <row r="4017" spans="1:2" x14ac:dyDescent="0.2">
      <c r="A4017">
        <v>-6694.7870101652807</v>
      </c>
      <c r="B4017">
        <v>9709.5953002446331</v>
      </c>
    </row>
    <row r="4018" spans="1:2" x14ac:dyDescent="0.2">
      <c r="A4018">
        <v>26907.387120413012</v>
      </c>
      <c r="B4018">
        <v>9711.1868994569522</v>
      </c>
    </row>
    <row r="4019" spans="1:2" x14ac:dyDescent="0.2">
      <c r="A4019">
        <v>-29552.235041844193</v>
      </c>
      <c r="B4019">
        <v>9731.466761211108</v>
      </c>
    </row>
    <row r="4020" spans="1:2" x14ac:dyDescent="0.2">
      <c r="A4020">
        <v>1454.0722570056096</v>
      </c>
      <c r="B4020">
        <v>9740.9445590125688</v>
      </c>
    </row>
    <row r="4021" spans="1:2" x14ac:dyDescent="0.2">
      <c r="A4021">
        <v>898.17951569432626</v>
      </c>
      <c r="B4021">
        <v>9743.5271411980502</v>
      </c>
    </row>
    <row r="4022" spans="1:2" x14ac:dyDescent="0.2">
      <c r="A4022">
        <v>-1903.2636018494668</v>
      </c>
      <c r="B4022">
        <v>9748.4738774769939</v>
      </c>
    </row>
    <row r="4023" spans="1:2" x14ac:dyDescent="0.2">
      <c r="A4023">
        <v>-1529.9836278873845</v>
      </c>
      <c r="B4023">
        <v>9749.8250200289331</v>
      </c>
    </row>
    <row r="4024" spans="1:2" x14ac:dyDescent="0.2">
      <c r="A4024">
        <v>4178.0016924296506</v>
      </c>
      <c r="B4024">
        <v>9751.5544654777623</v>
      </c>
    </row>
    <row r="4025" spans="1:2" x14ac:dyDescent="0.2">
      <c r="A4025">
        <v>448.79599523072829</v>
      </c>
      <c r="B4025">
        <v>9758.1220417795412</v>
      </c>
    </row>
    <row r="4026" spans="1:2" x14ac:dyDescent="0.2">
      <c r="A4026">
        <v>2737.2334640832269</v>
      </c>
      <c r="B4026">
        <v>9760.4308921329794</v>
      </c>
    </row>
    <row r="4027" spans="1:2" x14ac:dyDescent="0.2">
      <c r="A4027">
        <v>2456.1249411177705</v>
      </c>
      <c r="B4027">
        <v>9808.6443290888565</v>
      </c>
    </row>
    <row r="4028" spans="1:2" x14ac:dyDescent="0.2">
      <c r="A4028">
        <v>-1015.6144659129204</v>
      </c>
      <c r="B4028">
        <v>9817.9550532892463</v>
      </c>
    </row>
    <row r="4029" spans="1:2" x14ac:dyDescent="0.2">
      <c r="A4029">
        <v>6810.5285737775848</v>
      </c>
      <c r="B4029">
        <v>9822.0757657876238</v>
      </c>
    </row>
    <row r="4030" spans="1:2" x14ac:dyDescent="0.2">
      <c r="A4030">
        <v>10394.166633991757</v>
      </c>
      <c r="B4030">
        <v>9833.8020764451649</v>
      </c>
    </row>
    <row r="4031" spans="1:2" x14ac:dyDescent="0.2">
      <c r="A4031">
        <v>7953.9583782490809</v>
      </c>
      <c r="B4031">
        <v>9852.312514713587</v>
      </c>
    </row>
    <row r="4032" spans="1:2" x14ac:dyDescent="0.2">
      <c r="A4032">
        <v>5974.5337936803699</v>
      </c>
      <c r="B4032">
        <v>9855.9377175200207</v>
      </c>
    </row>
    <row r="4033" spans="1:2" x14ac:dyDescent="0.2">
      <c r="A4033">
        <v>-3409.65384850587</v>
      </c>
      <c r="B4033">
        <v>9859.5731175689434</v>
      </c>
    </row>
    <row r="4034" spans="1:2" x14ac:dyDescent="0.2">
      <c r="A4034">
        <v>18968.124003149976</v>
      </c>
      <c r="B4034">
        <v>9865.9179451963282</v>
      </c>
    </row>
    <row r="4035" spans="1:2" x14ac:dyDescent="0.2">
      <c r="A4035">
        <v>8472.6893760832609</v>
      </c>
      <c r="B4035">
        <v>9867.8522507559974</v>
      </c>
    </row>
    <row r="4036" spans="1:2" x14ac:dyDescent="0.2">
      <c r="A4036">
        <v>2130.1790663018764</v>
      </c>
      <c r="B4036">
        <v>9868.6227113439236</v>
      </c>
    </row>
    <row r="4037" spans="1:2" x14ac:dyDescent="0.2">
      <c r="A4037">
        <v>561.92362492159009</v>
      </c>
      <c r="B4037">
        <v>9879.5590277364536</v>
      </c>
    </row>
    <row r="4038" spans="1:2" x14ac:dyDescent="0.2">
      <c r="A4038">
        <v>5413.3015406050836</v>
      </c>
      <c r="B4038">
        <v>9881.2262259380077</v>
      </c>
    </row>
    <row r="4039" spans="1:2" x14ac:dyDescent="0.2">
      <c r="A4039">
        <v>3436.9197325241694</v>
      </c>
      <c r="B4039">
        <v>9896.2508550841885</v>
      </c>
    </row>
    <row r="4040" spans="1:2" x14ac:dyDescent="0.2">
      <c r="A4040">
        <v>55.978432459174655</v>
      </c>
      <c r="B4040">
        <v>9905.7063492679445</v>
      </c>
    </row>
    <row r="4041" spans="1:2" x14ac:dyDescent="0.2">
      <c r="A4041">
        <v>5003.3633309618453</v>
      </c>
      <c r="B4041">
        <v>9908.517173669039</v>
      </c>
    </row>
    <row r="4042" spans="1:2" x14ac:dyDescent="0.2">
      <c r="A4042">
        <v>9517.5648605116003</v>
      </c>
      <c r="B4042">
        <v>9911.3709729750408</v>
      </c>
    </row>
    <row r="4043" spans="1:2" x14ac:dyDescent="0.2">
      <c r="A4043">
        <v>22028.242028016306</v>
      </c>
      <c r="B4043">
        <v>9918.75757215466</v>
      </c>
    </row>
    <row r="4044" spans="1:2" x14ac:dyDescent="0.2">
      <c r="A4044">
        <v>12482.781820266944</v>
      </c>
      <c r="B4044">
        <v>9941.1152294547646</v>
      </c>
    </row>
    <row r="4045" spans="1:2" x14ac:dyDescent="0.2">
      <c r="A4045">
        <v>2301.2045702872565</v>
      </c>
      <c r="B4045">
        <v>9941.4381397707912</v>
      </c>
    </row>
    <row r="4046" spans="1:2" x14ac:dyDescent="0.2">
      <c r="A4046">
        <v>1264.8854339628306</v>
      </c>
      <c r="B4046">
        <v>9943.1905293791497</v>
      </c>
    </row>
    <row r="4047" spans="1:2" x14ac:dyDescent="0.2">
      <c r="A4047">
        <v>7035.7389104956528</v>
      </c>
      <c r="B4047">
        <v>9954.8376471881056</v>
      </c>
    </row>
    <row r="4048" spans="1:2" x14ac:dyDescent="0.2">
      <c r="A4048">
        <v>-3361.3162115372252</v>
      </c>
      <c r="B4048">
        <v>9958.4130496818398</v>
      </c>
    </row>
    <row r="4049" spans="1:2" x14ac:dyDescent="0.2">
      <c r="A4049">
        <v>6767.631633157027</v>
      </c>
      <c r="B4049">
        <v>9959.1470096611301</v>
      </c>
    </row>
    <row r="4050" spans="1:2" x14ac:dyDescent="0.2">
      <c r="A4050">
        <v>1050.4081818207633</v>
      </c>
      <c r="B4050">
        <v>9960.1953777857998</v>
      </c>
    </row>
    <row r="4051" spans="1:2" x14ac:dyDescent="0.2">
      <c r="A4051">
        <v>5653.4369307708112</v>
      </c>
      <c r="B4051">
        <v>9966.6853084666072</v>
      </c>
    </row>
    <row r="4052" spans="1:2" x14ac:dyDescent="0.2">
      <c r="A4052">
        <v>832.16387500028941</v>
      </c>
      <c r="B4052">
        <v>9977.5335583541309</v>
      </c>
    </row>
    <row r="4053" spans="1:2" x14ac:dyDescent="0.2">
      <c r="A4053">
        <v>8150.2669154838077</v>
      </c>
      <c r="B4053">
        <v>9987.4689970731852</v>
      </c>
    </row>
    <row r="4054" spans="1:2" x14ac:dyDescent="0.2">
      <c r="A4054">
        <v>3253.5680949223461</v>
      </c>
      <c r="B4054">
        <v>9995.680166695849</v>
      </c>
    </row>
    <row r="4055" spans="1:2" x14ac:dyDescent="0.2">
      <c r="A4055">
        <v>-11457.123156557267</v>
      </c>
      <c r="B4055">
        <v>10018.033793618204</v>
      </c>
    </row>
    <row r="4056" spans="1:2" x14ac:dyDescent="0.2">
      <c r="A4056">
        <v>13304.555850820936</v>
      </c>
      <c r="B4056">
        <v>10018.95397643192</v>
      </c>
    </row>
    <row r="4057" spans="1:2" x14ac:dyDescent="0.2">
      <c r="A4057">
        <v>6120.481714012567</v>
      </c>
      <c r="B4057">
        <v>10021.620009273087</v>
      </c>
    </row>
    <row r="4058" spans="1:2" x14ac:dyDescent="0.2">
      <c r="A4058">
        <v>1801.5172079253825</v>
      </c>
      <c r="B4058">
        <v>10036.824959392543</v>
      </c>
    </row>
    <row r="4059" spans="1:2" x14ac:dyDescent="0.2">
      <c r="A4059">
        <v>-6814.5313963942754</v>
      </c>
      <c r="B4059">
        <v>10038.275674854871</v>
      </c>
    </row>
    <row r="4060" spans="1:2" x14ac:dyDescent="0.2">
      <c r="A4060">
        <v>-649.94426480491529</v>
      </c>
      <c r="B4060">
        <v>10039.117083203659</v>
      </c>
    </row>
    <row r="4061" spans="1:2" x14ac:dyDescent="0.2">
      <c r="A4061">
        <v>10053.669090330746</v>
      </c>
      <c r="B4061">
        <v>10043.456056948839</v>
      </c>
    </row>
    <row r="4062" spans="1:2" x14ac:dyDescent="0.2">
      <c r="A4062">
        <v>3580.3389611655439</v>
      </c>
      <c r="B4062">
        <v>10053.669090330746</v>
      </c>
    </row>
    <row r="4063" spans="1:2" x14ac:dyDescent="0.2">
      <c r="A4063">
        <v>16902.930861650209</v>
      </c>
      <c r="B4063">
        <v>10054.203046131501</v>
      </c>
    </row>
    <row r="4064" spans="1:2" x14ac:dyDescent="0.2">
      <c r="A4064">
        <v>20732.534829612239</v>
      </c>
      <c r="B4064">
        <v>10056.405045083317</v>
      </c>
    </row>
    <row r="4065" spans="1:2" x14ac:dyDescent="0.2">
      <c r="A4065">
        <v>-9217.0710655268631</v>
      </c>
      <c r="B4065">
        <v>10056.952057818591</v>
      </c>
    </row>
    <row r="4066" spans="1:2" x14ac:dyDescent="0.2">
      <c r="A4066">
        <v>-3218.0300237173797</v>
      </c>
      <c r="B4066">
        <v>10058.806420792389</v>
      </c>
    </row>
    <row r="4067" spans="1:2" x14ac:dyDescent="0.2">
      <c r="A4067">
        <v>4699.936272696621</v>
      </c>
      <c r="B4067">
        <v>10067.409568667121</v>
      </c>
    </row>
    <row r="4068" spans="1:2" x14ac:dyDescent="0.2">
      <c r="A4068">
        <v>8856.0404772216571</v>
      </c>
      <c r="B4068">
        <v>10069.087582057342</v>
      </c>
    </row>
    <row r="4069" spans="1:2" x14ac:dyDescent="0.2">
      <c r="A4069">
        <v>12717.128075168293</v>
      </c>
      <c r="B4069">
        <v>10069.271979826706</v>
      </c>
    </row>
    <row r="4070" spans="1:2" x14ac:dyDescent="0.2">
      <c r="A4070">
        <v>-2021.1126918096852</v>
      </c>
      <c r="B4070">
        <v>10073.135742959304</v>
      </c>
    </row>
    <row r="4071" spans="1:2" x14ac:dyDescent="0.2">
      <c r="A4071">
        <v>-3745.512380770786</v>
      </c>
      <c r="B4071">
        <v>10086.295649583917</v>
      </c>
    </row>
    <row r="4072" spans="1:2" x14ac:dyDescent="0.2">
      <c r="A4072">
        <v>13291.070459549577</v>
      </c>
      <c r="B4072">
        <v>10102.283540511853</v>
      </c>
    </row>
    <row r="4073" spans="1:2" x14ac:dyDescent="0.2">
      <c r="A4073">
        <v>7683.5493273480097</v>
      </c>
      <c r="B4073">
        <v>10104.301638254488</v>
      </c>
    </row>
    <row r="4074" spans="1:2" x14ac:dyDescent="0.2">
      <c r="A4074">
        <v>1863.5318877486861</v>
      </c>
      <c r="B4074">
        <v>10104.968006837182</v>
      </c>
    </row>
    <row r="4075" spans="1:2" x14ac:dyDescent="0.2">
      <c r="A4075">
        <v>12096.24793274542</v>
      </c>
      <c r="B4075">
        <v>10105.918919319578</v>
      </c>
    </row>
    <row r="4076" spans="1:2" x14ac:dyDescent="0.2">
      <c r="A4076">
        <v>7073.6273416796757</v>
      </c>
      <c r="B4076">
        <v>10107.243086310802</v>
      </c>
    </row>
    <row r="4077" spans="1:2" x14ac:dyDescent="0.2">
      <c r="A4077">
        <v>-7219.5590827595734</v>
      </c>
      <c r="B4077">
        <v>10113.431263899955</v>
      </c>
    </row>
    <row r="4078" spans="1:2" x14ac:dyDescent="0.2">
      <c r="A4078">
        <v>13427.435783934634</v>
      </c>
      <c r="B4078">
        <v>10116.597630456119</v>
      </c>
    </row>
    <row r="4079" spans="1:2" x14ac:dyDescent="0.2">
      <c r="A4079">
        <v>-5874.8387764015351</v>
      </c>
      <c r="B4079">
        <v>10117.829657217371</v>
      </c>
    </row>
    <row r="4080" spans="1:2" x14ac:dyDescent="0.2">
      <c r="A4080">
        <v>1136.2224482718157</v>
      </c>
      <c r="B4080">
        <v>10132.335802955873</v>
      </c>
    </row>
    <row r="4081" spans="1:2" x14ac:dyDescent="0.2">
      <c r="A4081">
        <v>2018.8039453556412</v>
      </c>
      <c r="B4081">
        <v>10139.658815635659</v>
      </c>
    </row>
    <row r="4082" spans="1:2" x14ac:dyDescent="0.2">
      <c r="A4082">
        <v>2474.8766709556803</v>
      </c>
      <c r="B4082">
        <v>10148.644264983624</v>
      </c>
    </row>
    <row r="4083" spans="1:2" x14ac:dyDescent="0.2">
      <c r="A4083">
        <v>-1491.9359587834915</v>
      </c>
      <c r="B4083">
        <v>10157.73046786015</v>
      </c>
    </row>
    <row r="4084" spans="1:2" x14ac:dyDescent="0.2">
      <c r="A4084">
        <v>-11812.652948404808</v>
      </c>
      <c r="B4084">
        <v>10158.133012263075</v>
      </c>
    </row>
    <row r="4085" spans="1:2" x14ac:dyDescent="0.2">
      <c r="A4085">
        <v>-22150.047204820614</v>
      </c>
      <c r="B4085">
        <v>10165.852525864</v>
      </c>
    </row>
    <row r="4086" spans="1:2" x14ac:dyDescent="0.2">
      <c r="A4086">
        <v>5219.6925034367014</v>
      </c>
      <c r="B4086">
        <v>10170.521772620385</v>
      </c>
    </row>
    <row r="4087" spans="1:2" x14ac:dyDescent="0.2">
      <c r="A4087">
        <v>20569.562832724681</v>
      </c>
      <c r="B4087">
        <v>10171.194666246942</v>
      </c>
    </row>
    <row r="4088" spans="1:2" x14ac:dyDescent="0.2">
      <c r="A4088">
        <v>-21837.753228783491</v>
      </c>
      <c r="B4088">
        <v>10172.38297376837</v>
      </c>
    </row>
    <row r="4089" spans="1:2" x14ac:dyDescent="0.2">
      <c r="A4089">
        <v>-4992.4539203324821</v>
      </c>
      <c r="B4089">
        <v>10172.598182538175</v>
      </c>
    </row>
    <row r="4090" spans="1:2" x14ac:dyDescent="0.2">
      <c r="A4090">
        <v>-17818.967524464184</v>
      </c>
      <c r="B4090">
        <v>10177.757041066245</v>
      </c>
    </row>
    <row r="4091" spans="1:2" x14ac:dyDescent="0.2">
      <c r="A4091">
        <v>15517.792013104627</v>
      </c>
      <c r="B4091">
        <v>10184.351640156936</v>
      </c>
    </row>
    <row r="4092" spans="1:2" x14ac:dyDescent="0.2">
      <c r="A4092">
        <v>3520.8679740600055</v>
      </c>
      <c r="B4092">
        <v>10185.281132735719</v>
      </c>
    </row>
    <row r="4093" spans="1:2" x14ac:dyDescent="0.2">
      <c r="A4093">
        <v>3599.3615736087086</v>
      </c>
      <c r="B4093">
        <v>10186.586134041718</v>
      </c>
    </row>
    <row r="4094" spans="1:2" x14ac:dyDescent="0.2">
      <c r="A4094">
        <v>5646.3929838891199</v>
      </c>
      <c r="B4094">
        <v>10191.682756286697</v>
      </c>
    </row>
    <row r="4095" spans="1:2" x14ac:dyDescent="0.2">
      <c r="A4095">
        <v>-5397.7567162437481</v>
      </c>
      <c r="B4095">
        <v>10194.011891055212</v>
      </c>
    </row>
    <row r="4096" spans="1:2" x14ac:dyDescent="0.2">
      <c r="A4096">
        <v>-10214.049148983031</v>
      </c>
      <c r="B4096">
        <v>10209.273648716538</v>
      </c>
    </row>
    <row r="4097" spans="1:2" x14ac:dyDescent="0.2">
      <c r="A4097">
        <v>-7928.795840564766</v>
      </c>
      <c r="B4097">
        <v>10219.544727676082</v>
      </c>
    </row>
    <row r="4098" spans="1:2" x14ac:dyDescent="0.2">
      <c r="A4098">
        <v>5111.0574799236783</v>
      </c>
      <c r="B4098">
        <v>10223.236027762498</v>
      </c>
    </row>
    <row r="4099" spans="1:2" x14ac:dyDescent="0.2">
      <c r="A4099">
        <v>11323.251180853957</v>
      </c>
      <c r="B4099">
        <v>10227.248324354354</v>
      </c>
    </row>
    <row r="4100" spans="1:2" x14ac:dyDescent="0.2">
      <c r="A4100">
        <v>-6939.8559903676796</v>
      </c>
      <c r="B4100">
        <v>10239.396700089506</v>
      </c>
    </row>
    <row r="4101" spans="1:2" x14ac:dyDescent="0.2">
      <c r="A4101">
        <v>12845.352705629964</v>
      </c>
      <c r="B4101">
        <v>10250.946330489911</v>
      </c>
    </row>
    <row r="4102" spans="1:2" x14ac:dyDescent="0.2">
      <c r="A4102">
        <v>2734.8962319510174</v>
      </c>
      <c r="B4102">
        <v>10256.568350309622</v>
      </c>
    </row>
    <row r="4103" spans="1:2" x14ac:dyDescent="0.2">
      <c r="A4103">
        <v>7421.9549412870256</v>
      </c>
      <c r="B4103">
        <v>10271.836215996242</v>
      </c>
    </row>
    <row r="4104" spans="1:2" x14ac:dyDescent="0.2">
      <c r="A4104">
        <v>-17847.058827015047</v>
      </c>
      <c r="B4104">
        <v>10272.555666073167</v>
      </c>
    </row>
    <row r="4105" spans="1:2" x14ac:dyDescent="0.2">
      <c r="A4105">
        <v>7073.4611056697904</v>
      </c>
      <c r="B4105">
        <v>10282.604589610535</v>
      </c>
    </row>
    <row r="4106" spans="1:2" x14ac:dyDescent="0.2">
      <c r="A4106">
        <v>11642.686299882218</v>
      </c>
      <c r="B4106">
        <v>10282.728431595402</v>
      </c>
    </row>
    <row r="4107" spans="1:2" x14ac:dyDescent="0.2">
      <c r="A4107">
        <v>-4761.543100373412</v>
      </c>
      <c r="B4107">
        <v>10285.49751324096</v>
      </c>
    </row>
    <row r="4108" spans="1:2" x14ac:dyDescent="0.2">
      <c r="A4108">
        <v>-7512.8697715630406</v>
      </c>
      <c r="B4108">
        <v>10285.877956558601</v>
      </c>
    </row>
    <row r="4109" spans="1:2" x14ac:dyDescent="0.2">
      <c r="A4109">
        <v>-3686.5497803843464</v>
      </c>
      <c r="B4109">
        <v>10289.116938071413</v>
      </c>
    </row>
    <row r="4110" spans="1:2" x14ac:dyDescent="0.2">
      <c r="A4110">
        <v>4554.4413051129959</v>
      </c>
      <c r="B4110">
        <v>10289.591066715628</v>
      </c>
    </row>
    <row r="4111" spans="1:2" x14ac:dyDescent="0.2">
      <c r="A4111">
        <v>1496.1869865830813</v>
      </c>
      <c r="B4111">
        <v>10289.844891802</v>
      </c>
    </row>
    <row r="4112" spans="1:2" x14ac:dyDescent="0.2">
      <c r="A4112">
        <v>10433.974988992384</v>
      </c>
      <c r="B4112">
        <v>10294.893671719357</v>
      </c>
    </row>
    <row r="4113" spans="1:2" x14ac:dyDescent="0.2">
      <c r="A4113">
        <v>-8902.2552441240987</v>
      </c>
      <c r="B4113">
        <v>10318.762435647775</v>
      </c>
    </row>
    <row r="4114" spans="1:2" x14ac:dyDescent="0.2">
      <c r="A4114">
        <v>4792.4073035196634</v>
      </c>
      <c r="B4114">
        <v>10323.383800444833</v>
      </c>
    </row>
    <row r="4115" spans="1:2" x14ac:dyDescent="0.2">
      <c r="A4115">
        <v>291.82752843701746</v>
      </c>
      <c r="B4115">
        <v>10329.104953620932</v>
      </c>
    </row>
    <row r="4116" spans="1:2" x14ac:dyDescent="0.2">
      <c r="A4116">
        <v>7349.8975307817454</v>
      </c>
      <c r="B4116">
        <v>10332.673558725743</v>
      </c>
    </row>
    <row r="4117" spans="1:2" x14ac:dyDescent="0.2">
      <c r="A4117">
        <v>-2841.5598579704238</v>
      </c>
      <c r="B4117">
        <v>10333.771363415406</v>
      </c>
    </row>
    <row r="4118" spans="1:2" x14ac:dyDescent="0.2">
      <c r="A4118">
        <v>1395.8116704980494</v>
      </c>
      <c r="B4118">
        <v>10337.399335440132</v>
      </c>
    </row>
    <row r="4119" spans="1:2" x14ac:dyDescent="0.2">
      <c r="A4119">
        <v>-6172.5675425531808</v>
      </c>
      <c r="B4119">
        <v>10348.047531065473</v>
      </c>
    </row>
    <row r="4120" spans="1:2" x14ac:dyDescent="0.2">
      <c r="A4120">
        <v>-1766.9115002021426</v>
      </c>
      <c r="B4120">
        <v>10359.52957849449</v>
      </c>
    </row>
    <row r="4121" spans="1:2" x14ac:dyDescent="0.2">
      <c r="A4121">
        <v>17151.43927231399</v>
      </c>
      <c r="B4121">
        <v>10365.177694077429</v>
      </c>
    </row>
    <row r="4122" spans="1:2" x14ac:dyDescent="0.2">
      <c r="A4122">
        <v>-6406.7036603585584</v>
      </c>
      <c r="B4122">
        <v>10371.579589799105</v>
      </c>
    </row>
    <row r="4123" spans="1:2" x14ac:dyDescent="0.2">
      <c r="A4123">
        <v>5744.7051799637266</v>
      </c>
      <c r="B4123">
        <v>10371.683064700221</v>
      </c>
    </row>
    <row r="4124" spans="1:2" x14ac:dyDescent="0.2">
      <c r="A4124">
        <v>-13833.622101523215</v>
      </c>
      <c r="B4124">
        <v>10372.921521196578</v>
      </c>
    </row>
    <row r="4125" spans="1:2" x14ac:dyDescent="0.2">
      <c r="A4125">
        <v>-7478.2385717104189</v>
      </c>
      <c r="B4125">
        <v>10389.417904116432</v>
      </c>
    </row>
    <row r="4126" spans="1:2" x14ac:dyDescent="0.2">
      <c r="A4126">
        <v>5422.3953432913113</v>
      </c>
      <c r="B4126">
        <v>10394.166633991757</v>
      </c>
    </row>
    <row r="4127" spans="1:2" x14ac:dyDescent="0.2">
      <c r="A4127">
        <v>7210.5495346068055</v>
      </c>
      <c r="B4127">
        <v>10395.846070667525</v>
      </c>
    </row>
    <row r="4128" spans="1:2" x14ac:dyDescent="0.2">
      <c r="A4128">
        <v>-1613.412400715577</v>
      </c>
      <c r="B4128">
        <v>10402.987691258139</v>
      </c>
    </row>
    <row r="4129" spans="1:2" x14ac:dyDescent="0.2">
      <c r="A4129">
        <v>10829.193644521059</v>
      </c>
      <c r="B4129">
        <v>10410.7532111092</v>
      </c>
    </row>
    <row r="4130" spans="1:2" x14ac:dyDescent="0.2">
      <c r="A4130">
        <v>6137.7273930508236</v>
      </c>
      <c r="B4130">
        <v>10415.315618211578</v>
      </c>
    </row>
    <row r="4131" spans="1:2" x14ac:dyDescent="0.2">
      <c r="A4131">
        <v>18018.722444040875</v>
      </c>
      <c r="B4131">
        <v>10417.52547017677</v>
      </c>
    </row>
    <row r="4132" spans="1:2" x14ac:dyDescent="0.2">
      <c r="A4132">
        <v>1300.736527438974</v>
      </c>
      <c r="B4132">
        <v>10420.099060344102</v>
      </c>
    </row>
    <row r="4133" spans="1:2" x14ac:dyDescent="0.2">
      <c r="A4133">
        <v>13762.416492375458</v>
      </c>
      <c r="B4133">
        <v>10433.974988992384</v>
      </c>
    </row>
    <row r="4134" spans="1:2" x14ac:dyDescent="0.2">
      <c r="A4134">
        <v>-19062.546490438865</v>
      </c>
      <c r="B4134">
        <v>10436.306232016505</v>
      </c>
    </row>
    <row r="4135" spans="1:2" x14ac:dyDescent="0.2">
      <c r="A4135">
        <v>6513.357938296569</v>
      </c>
      <c r="B4135">
        <v>10439.520660254086</v>
      </c>
    </row>
    <row r="4136" spans="1:2" x14ac:dyDescent="0.2">
      <c r="A4136">
        <v>6993.1043890634028</v>
      </c>
      <c r="B4136">
        <v>10461.663370465219</v>
      </c>
    </row>
    <row r="4137" spans="1:2" x14ac:dyDescent="0.2">
      <c r="A4137">
        <v>16393.74736527077</v>
      </c>
      <c r="B4137">
        <v>10463.460880481376</v>
      </c>
    </row>
    <row r="4138" spans="1:2" x14ac:dyDescent="0.2">
      <c r="A4138">
        <v>-8740.1638760197093</v>
      </c>
      <c r="B4138">
        <v>10484.124745970272</v>
      </c>
    </row>
    <row r="4139" spans="1:2" x14ac:dyDescent="0.2">
      <c r="A4139">
        <v>18013.954563360254</v>
      </c>
      <c r="B4139">
        <v>10496.899729998491</v>
      </c>
    </row>
    <row r="4140" spans="1:2" x14ac:dyDescent="0.2">
      <c r="A4140">
        <v>11865.730669752171</v>
      </c>
      <c r="B4140">
        <v>10498.257507355767</v>
      </c>
    </row>
    <row r="4141" spans="1:2" x14ac:dyDescent="0.2">
      <c r="A4141">
        <v>19349.973259849648</v>
      </c>
      <c r="B4141">
        <v>10498.565881616145</v>
      </c>
    </row>
    <row r="4142" spans="1:2" x14ac:dyDescent="0.2">
      <c r="A4142">
        <v>-1454.8707764784922</v>
      </c>
      <c r="B4142">
        <v>10513.75755931178</v>
      </c>
    </row>
    <row r="4143" spans="1:2" x14ac:dyDescent="0.2">
      <c r="A4143">
        <v>16194.171352529374</v>
      </c>
      <c r="B4143">
        <v>10515.112207325757</v>
      </c>
    </row>
    <row r="4144" spans="1:2" x14ac:dyDescent="0.2">
      <c r="A4144">
        <v>-8943.8480101086607</v>
      </c>
      <c r="B4144">
        <v>10516.851690871699</v>
      </c>
    </row>
    <row r="4145" spans="1:2" x14ac:dyDescent="0.2">
      <c r="A4145">
        <v>13404.115416182176</v>
      </c>
      <c r="B4145">
        <v>10529.906179448008</v>
      </c>
    </row>
    <row r="4146" spans="1:2" x14ac:dyDescent="0.2">
      <c r="A4146">
        <v>393.74502440885408</v>
      </c>
      <c r="B4146">
        <v>10544.088553873036</v>
      </c>
    </row>
    <row r="4147" spans="1:2" x14ac:dyDescent="0.2">
      <c r="A4147">
        <v>13099.976887041354</v>
      </c>
      <c r="B4147">
        <v>10547.120472414885</v>
      </c>
    </row>
    <row r="4148" spans="1:2" x14ac:dyDescent="0.2">
      <c r="A4148">
        <v>6571.4124095936713</v>
      </c>
      <c r="B4148">
        <v>10563.606465420831</v>
      </c>
    </row>
    <row r="4149" spans="1:2" x14ac:dyDescent="0.2">
      <c r="A4149">
        <v>-14841.559544634481</v>
      </c>
      <c r="B4149">
        <v>10574.059230893181</v>
      </c>
    </row>
    <row r="4150" spans="1:2" x14ac:dyDescent="0.2">
      <c r="A4150">
        <v>-3069.0354224295588</v>
      </c>
      <c r="B4150">
        <v>10574.463562752411</v>
      </c>
    </row>
    <row r="4151" spans="1:2" x14ac:dyDescent="0.2">
      <c r="A4151">
        <v>2471.7847959049104</v>
      </c>
      <c r="B4151">
        <v>10587.281317369139</v>
      </c>
    </row>
    <row r="4152" spans="1:2" x14ac:dyDescent="0.2">
      <c r="A4152">
        <v>-114.87769292169833</v>
      </c>
      <c r="B4152">
        <v>10596.341221261478</v>
      </c>
    </row>
    <row r="4153" spans="1:2" x14ac:dyDescent="0.2">
      <c r="A4153">
        <v>7279.3598807421222</v>
      </c>
      <c r="B4153">
        <v>10598.139347312972</v>
      </c>
    </row>
    <row r="4154" spans="1:2" x14ac:dyDescent="0.2">
      <c r="A4154">
        <v>2771.172855522309</v>
      </c>
      <c r="B4154">
        <v>10599.719740213652</v>
      </c>
    </row>
    <row r="4155" spans="1:2" x14ac:dyDescent="0.2">
      <c r="A4155">
        <v>-10633.178069562477</v>
      </c>
      <c r="B4155">
        <v>10606.889954654034</v>
      </c>
    </row>
    <row r="4156" spans="1:2" x14ac:dyDescent="0.2">
      <c r="A4156">
        <v>-989.19141332956497</v>
      </c>
      <c r="B4156">
        <v>10608.859488202463</v>
      </c>
    </row>
    <row r="4157" spans="1:2" x14ac:dyDescent="0.2">
      <c r="A4157">
        <v>-13387.300607006997</v>
      </c>
      <c r="B4157">
        <v>10609.499347165518</v>
      </c>
    </row>
    <row r="4158" spans="1:2" x14ac:dyDescent="0.2">
      <c r="A4158">
        <v>-2947.4854991225875</v>
      </c>
      <c r="B4158">
        <v>10631.533023994183</v>
      </c>
    </row>
    <row r="4159" spans="1:2" x14ac:dyDescent="0.2">
      <c r="A4159">
        <v>768.3651545723551</v>
      </c>
      <c r="B4159">
        <v>10646.862074089237</v>
      </c>
    </row>
    <row r="4160" spans="1:2" x14ac:dyDescent="0.2">
      <c r="A4160">
        <v>-19306.890453250031</v>
      </c>
      <c r="B4160">
        <v>10648.707280617586</v>
      </c>
    </row>
    <row r="4161" spans="1:2" x14ac:dyDescent="0.2">
      <c r="A4161">
        <v>-7306.4793075175548</v>
      </c>
      <c r="B4161">
        <v>10660.114042765228</v>
      </c>
    </row>
    <row r="4162" spans="1:2" x14ac:dyDescent="0.2">
      <c r="A4162">
        <v>-894.47667345654918</v>
      </c>
      <c r="B4162">
        <v>10660.871626104985</v>
      </c>
    </row>
    <row r="4163" spans="1:2" x14ac:dyDescent="0.2">
      <c r="A4163">
        <v>24718.388825477799</v>
      </c>
      <c r="B4163">
        <v>10663.631965130277</v>
      </c>
    </row>
    <row r="4164" spans="1:2" x14ac:dyDescent="0.2">
      <c r="A4164">
        <v>-5044.0408214013733</v>
      </c>
      <c r="B4164">
        <v>10666.311499455041</v>
      </c>
    </row>
    <row r="4165" spans="1:2" x14ac:dyDescent="0.2">
      <c r="A4165">
        <v>9578.0715796178556</v>
      </c>
      <c r="B4165">
        <v>10668.570842853456</v>
      </c>
    </row>
    <row r="4166" spans="1:2" x14ac:dyDescent="0.2">
      <c r="A4166">
        <v>1079.6278974181041</v>
      </c>
      <c r="B4166">
        <v>10669.101909167919</v>
      </c>
    </row>
    <row r="4167" spans="1:2" x14ac:dyDescent="0.2">
      <c r="A4167">
        <v>4357.105572552653</v>
      </c>
      <c r="B4167">
        <v>10674.762810088578</v>
      </c>
    </row>
    <row r="4168" spans="1:2" x14ac:dyDescent="0.2">
      <c r="A4168">
        <v>-5119.4454527172202</v>
      </c>
      <c r="B4168">
        <v>10675.107979335706</v>
      </c>
    </row>
    <row r="4169" spans="1:2" x14ac:dyDescent="0.2">
      <c r="A4169">
        <v>3520.5097487930616</v>
      </c>
      <c r="B4169">
        <v>10684.419664190762</v>
      </c>
    </row>
    <row r="4170" spans="1:2" x14ac:dyDescent="0.2">
      <c r="A4170">
        <v>3018.4840439463733</v>
      </c>
      <c r="B4170">
        <v>10684.687168528733</v>
      </c>
    </row>
    <row r="4171" spans="1:2" x14ac:dyDescent="0.2">
      <c r="A4171">
        <v>1900.3414988602162</v>
      </c>
      <c r="B4171">
        <v>10687.808116269211</v>
      </c>
    </row>
    <row r="4172" spans="1:2" x14ac:dyDescent="0.2">
      <c r="A4172">
        <v>10139.658815635659</v>
      </c>
      <c r="B4172">
        <v>10696.676284946792</v>
      </c>
    </row>
    <row r="4173" spans="1:2" x14ac:dyDescent="0.2">
      <c r="A4173">
        <v>6030.8660266832449</v>
      </c>
      <c r="B4173">
        <v>10699.962030809926</v>
      </c>
    </row>
    <row r="4174" spans="1:2" x14ac:dyDescent="0.2">
      <c r="A4174">
        <v>5643.1124104265764</v>
      </c>
      <c r="B4174">
        <v>10700.410039192764</v>
      </c>
    </row>
    <row r="4175" spans="1:2" x14ac:dyDescent="0.2">
      <c r="A4175">
        <v>-10607.828892457881</v>
      </c>
      <c r="B4175">
        <v>10704.387207397318</v>
      </c>
    </row>
    <row r="4176" spans="1:2" x14ac:dyDescent="0.2">
      <c r="A4176">
        <v>11503.441788656695</v>
      </c>
      <c r="B4176">
        <v>10705.463984311238</v>
      </c>
    </row>
    <row r="4177" spans="1:2" x14ac:dyDescent="0.2">
      <c r="A4177">
        <v>-10369.259068222134</v>
      </c>
      <c r="B4177">
        <v>10710.865402262571</v>
      </c>
    </row>
    <row r="4178" spans="1:2" x14ac:dyDescent="0.2">
      <c r="A4178">
        <v>3211.1728787148895</v>
      </c>
      <c r="B4178">
        <v>10717.437833626609</v>
      </c>
    </row>
    <row r="4179" spans="1:2" x14ac:dyDescent="0.2">
      <c r="A4179">
        <v>-4962.4780788635398</v>
      </c>
      <c r="B4179">
        <v>10726.87117221512</v>
      </c>
    </row>
    <row r="4180" spans="1:2" x14ac:dyDescent="0.2">
      <c r="A4180">
        <v>9572.088588889048</v>
      </c>
      <c r="B4180">
        <v>10727.638493087667</v>
      </c>
    </row>
    <row r="4181" spans="1:2" x14ac:dyDescent="0.2">
      <c r="A4181">
        <v>18051.845832075313</v>
      </c>
      <c r="B4181">
        <v>10727.737005114584</v>
      </c>
    </row>
    <row r="4182" spans="1:2" x14ac:dyDescent="0.2">
      <c r="A4182">
        <v>7927.3088689656579</v>
      </c>
      <c r="B4182">
        <v>10730.069572529348</v>
      </c>
    </row>
    <row r="4183" spans="1:2" x14ac:dyDescent="0.2">
      <c r="A4183">
        <v>-10067.9570668409</v>
      </c>
      <c r="B4183">
        <v>10755.63398859711</v>
      </c>
    </row>
    <row r="4184" spans="1:2" x14ac:dyDescent="0.2">
      <c r="A4184">
        <v>14083.466637299338</v>
      </c>
      <c r="B4184">
        <v>10767.403244434448</v>
      </c>
    </row>
    <row r="4185" spans="1:2" x14ac:dyDescent="0.2">
      <c r="A4185">
        <v>-19599.324398045836</v>
      </c>
      <c r="B4185">
        <v>10769.892061370541</v>
      </c>
    </row>
    <row r="4186" spans="1:2" x14ac:dyDescent="0.2">
      <c r="A4186">
        <v>4329.0961395481136</v>
      </c>
      <c r="B4186">
        <v>10777.913300315326</v>
      </c>
    </row>
    <row r="4187" spans="1:2" x14ac:dyDescent="0.2">
      <c r="A4187">
        <v>12281.748624422878</v>
      </c>
      <c r="B4187">
        <v>10781.09953602188</v>
      </c>
    </row>
    <row r="4188" spans="1:2" x14ac:dyDescent="0.2">
      <c r="A4188">
        <v>-11100.800510328932</v>
      </c>
      <c r="B4188">
        <v>10794.231486261298</v>
      </c>
    </row>
    <row r="4189" spans="1:2" x14ac:dyDescent="0.2">
      <c r="A4189">
        <v>2623.5365406800702</v>
      </c>
      <c r="B4189">
        <v>10809.783916492743</v>
      </c>
    </row>
    <row r="4190" spans="1:2" x14ac:dyDescent="0.2">
      <c r="A4190">
        <v>3263.2864739157958</v>
      </c>
      <c r="B4190">
        <v>10811.222156036587</v>
      </c>
    </row>
    <row r="4191" spans="1:2" x14ac:dyDescent="0.2">
      <c r="A4191">
        <v>13606.370591937972</v>
      </c>
      <c r="B4191">
        <v>10816.598986927042</v>
      </c>
    </row>
    <row r="4192" spans="1:2" x14ac:dyDescent="0.2">
      <c r="A4192">
        <v>12429.973242841341</v>
      </c>
      <c r="B4192">
        <v>10817.060728583601</v>
      </c>
    </row>
    <row r="4193" spans="1:2" x14ac:dyDescent="0.2">
      <c r="A4193">
        <v>3973.6740993696149</v>
      </c>
      <c r="B4193">
        <v>10818.455378804734</v>
      </c>
    </row>
    <row r="4194" spans="1:2" x14ac:dyDescent="0.2">
      <c r="A4194">
        <v>-389.70180894999066</v>
      </c>
      <c r="B4194">
        <v>10829.193644521059</v>
      </c>
    </row>
    <row r="4195" spans="1:2" x14ac:dyDescent="0.2">
      <c r="A4195">
        <v>5029.6985907146009</v>
      </c>
      <c r="B4195">
        <v>10830.708178423229</v>
      </c>
    </row>
    <row r="4196" spans="1:2" x14ac:dyDescent="0.2">
      <c r="A4196">
        <v>20296.316773158673</v>
      </c>
      <c r="B4196">
        <v>10831.953118648118</v>
      </c>
    </row>
    <row r="4197" spans="1:2" x14ac:dyDescent="0.2">
      <c r="A4197">
        <v>-6937.3570308710623</v>
      </c>
      <c r="B4197">
        <v>10841.451340894942</v>
      </c>
    </row>
    <row r="4198" spans="1:2" x14ac:dyDescent="0.2">
      <c r="A4198">
        <v>6740.0125642279745</v>
      </c>
      <c r="B4198">
        <v>10855.129941894615</v>
      </c>
    </row>
    <row r="4199" spans="1:2" x14ac:dyDescent="0.2">
      <c r="A4199">
        <v>16767.101052145066</v>
      </c>
      <c r="B4199">
        <v>10870.600072874455</v>
      </c>
    </row>
    <row r="4200" spans="1:2" x14ac:dyDescent="0.2">
      <c r="A4200">
        <v>-7856.4664413092105</v>
      </c>
      <c r="B4200">
        <v>10871.634793936741</v>
      </c>
    </row>
    <row r="4201" spans="1:2" x14ac:dyDescent="0.2">
      <c r="A4201">
        <v>13048.223532058182</v>
      </c>
      <c r="B4201">
        <v>10874.746806163283</v>
      </c>
    </row>
    <row r="4202" spans="1:2" x14ac:dyDescent="0.2">
      <c r="A4202">
        <v>-4181.0880919615738</v>
      </c>
      <c r="B4202">
        <v>10876.972233563749</v>
      </c>
    </row>
    <row r="4203" spans="1:2" x14ac:dyDescent="0.2">
      <c r="A4203">
        <v>-1879.1492391327338</v>
      </c>
      <c r="B4203">
        <v>10877.455236560083</v>
      </c>
    </row>
    <row r="4204" spans="1:2" x14ac:dyDescent="0.2">
      <c r="A4204">
        <v>-7779.1586247373489</v>
      </c>
      <c r="B4204">
        <v>10881.1863762188</v>
      </c>
    </row>
    <row r="4205" spans="1:2" x14ac:dyDescent="0.2">
      <c r="A4205">
        <v>12395.24425425427</v>
      </c>
      <c r="B4205">
        <v>10882.268982793335</v>
      </c>
    </row>
    <row r="4206" spans="1:2" x14ac:dyDescent="0.2">
      <c r="A4206">
        <v>2653.404292094172</v>
      </c>
      <c r="B4206">
        <v>10883.097005530843</v>
      </c>
    </row>
    <row r="4207" spans="1:2" x14ac:dyDescent="0.2">
      <c r="A4207">
        <v>-2539.3857450307114</v>
      </c>
      <c r="B4207">
        <v>10884.179470941162</v>
      </c>
    </row>
    <row r="4208" spans="1:2" x14ac:dyDescent="0.2">
      <c r="A4208">
        <v>4518.4148607817478</v>
      </c>
      <c r="B4208">
        <v>10885.0658146817</v>
      </c>
    </row>
    <row r="4209" spans="1:2" x14ac:dyDescent="0.2">
      <c r="A4209">
        <v>-5550.4811853581923</v>
      </c>
      <c r="B4209">
        <v>10892.874030645384</v>
      </c>
    </row>
    <row r="4210" spans="1:2" x14ac:dyDescent="0.2">
      <c r="A4210">
        <v>7762.0324607199582</v>
      </c>
      <c r="B4210">
        <v>10895.377872134966</v>
      </c>
    </row>
    <row r="4211" spans="1:2" x14ac:dyDescent="0.2">
      <c r="A4211">
        <v>-15372.413114487455</v>
      </c>
      <c r="B4211">
        <v>10897.505991499696</v>
      </c>
    </row>
    <row r="4212" spans="1:2" x14ac:dyDescent="0.2">
      <c r="A4212">
        <v>-862.93113361590076</v>
      </c>
      <c r="B4212">
        <v>10905.925406073249</v>
      </c>
    </row>
    <row r="4213" spans="1:2" x14ac:dyDescent="0.2">
      <c r="A4213">
        <v>2955.6336993493605</v>
      </c>
      <c r="B4213">
        <v>10915.279027579149</v>
      </c>
    </row>
    <row r="4214" spans="1:2" x14ac:dyDescent="0.2">
      <c r="A4214">
        <v>6636.2508889194869</v>
      </c>
      <c r="B4214">
        <v>10918.406901511946</v>
      </c>
    </row>
    <row r="4215" spans="1:2" x14ac:dyDescent="0.2">
      <c r="A4215">
        <v>-5515.2322930132505</v>
      </c>
      <c r="B4215">
        <v>10918.419874456769</v>
      </c>
    </row>
    <row r="4216" spans="1:2" x14ac:dyDescent="0.2">
      <c r="A4216">
        <v>-7533.5066443986434</v>
      </c>
      <c r="B4216">
        <v>10920.686489420812</v>
      </c>
    </row>
    <row r="4217" spans="1:2" x14ac:dyDescent="0.2">
      <c r="A4217">
        <v>-1552.9048377744621</v>
      </c>
      <c r="B4217">
        <v>10928.801262064197</v>
      </c>
    </row>
    <row r="4218" spans="1:2" x14ac:dyDescent="0.2">
      <c r="A4218">
        <v>-15202.989325549046</v>
      </c>
      <c r="B4218">
        <v>10932.066992929875</v>
      </c>
    </row>
    <row r="4219" spans="1:2" x14ac:dyDescent="0.2">
      <c r="A4219">
        <v>12671.633457043761</v>
      </c>
      <c r="B4219">
        <v>10939.163258226094</v>
      </c>
    </row>
    <row r="4220" spans="1:2" x14ac:dyDescent="0.2">
      <c r="A4220">
        <v>-7716.1915006328491</v>
      </c>
      <c r="B4220">
        <v>10947.727170484461</v>
      </c>
    </row>
    <row r="4221" spans="1:2" x14ac:dyDescent="0.2">
      <c r="A4221">
        <v>-933.64081269854796</v>
      </c>
      <c r="B4221">
        <v>10961.916583586077</v>
      </c>
    </row>
    <row r="4222" spans="1:2" x14ac:dyDescent="0.2">
      <c r="A4222">
        <v>-1290.7012626326177</v>
      </c>
      <c r="B4222">
        <v>10965.176977452764</v>
      </c>
    </row>
    <row r="4223" spans="1:2" x14ac:dyDescent="0.2">
      <c r="A4223">
        <v>-19546.710568254523</v>
      </c>
      <c r="B4223">
        <v>10983.861293343885</v>
      </c>
    </row>
    <row r="4224" spans="1:2" x14ac:dyDescent="0.2">
      <c r="A4224">
        <v>8195.9750034801837</v>
      </c>
      <c r="B4224">
        <v>10985.029926897667</v>
      </c>
    </row>
    <row r="4225" spans="1:2" x14ac:dyDescent="0.2">
      <c r="A4225">
        <v>1489.3114364655339</v>
      </c>
      <c r="B4225">
        <v>10992.045296978438</v>
      </c>
    </row>
    <row r="4226" spans="1:2" x14ac:dyDescent="0.2">
      <c r="A4226">
        <v>-12934.503885646234</v>
      </c>
      <c r="B4226">
        <v>10996.437745633535</v>
      </c>
    </row>
    <row r="4227" spans="1:2" x14ac:dyDescent="0.2">
      <c r="A4227">
        <v>596.90951491805026</v>
      </c>
      <c r="B4227">
        <v>10999.222534635832</v>
      </c>
    </row>
    <row r="4228" spans="1:2" x14ac:dyDescent="0.2">
      <c r="A4228">
        <v>15748.96463830967</v>
      </c>
      <c r="B4228">
        <v>11005.827938270872</v>
      </c>
    </row>
    <row r="4229" spans="1:2" x14ac:dyDescent="0.2">
      <c r="A4229">
        <v>9239.3242030204856</v>
      </c>
      <c r="B4229">
        <v>11016.512066783587</v>
      </c>
    </row>
    <row r="4230" spans="1:2" x14ac:dyDescent="0.2">
      <c r="A4230">
        <v>-10163.837991549983</v>
      </c>
      <c r="B4230">
        <v>11029.919438263285</v>
      </c>
    </row>
    <row r="4231" spans="1:2" x14ac:dyDescent="0.2">
      <c r="A4231">
        <v>2262.9132309836568</v>
      </c>
      <c r="B4231">
        <v>11032.121992743283</v>
      </c>
    </row>
    <row r="4232" spans="1:2" x14ac:dyDescent="0.2">
      <c r="A4232">
        <v>-955.66025087225717</v>
      </c>
      <c r="B4232">
        <v>11043.274204238522</v>
      </c>
    </row>
    <row r="4233" spans="1:2" x14ac:dyDescent="0.2">
      <c r="A4233">
        <v>-8108.2346060214331</v>
      </c>
      <c r="B4233">
        <v>11045.075333725457</v>
      </c>
    </row>
    <row r="4234" spans="1:2" x14ac:dyDescent="0.2">
      <c r="A4234">
        <v>-9642.5806901563192</v>
      </c>
      <c r="B4234">
        <v>11050.553497135406</v>
      </c>
    </row>
    <row r="4235" spans="1:2" x14ac:dyDescent="0.2">
      <c r="A4235">
        <v>3847.6898893114412</v>
      </c>
      <c r="B4235">
        <v>11058.865227130416</v>
      </c>
    </row>
    <row r="4236" spans="1:2" x14ac:dyDescent="0.2">
      <c r="A4236">
        <v>4850.2380352321197</v>
      </c>
      <c r="B4236">
        <v>11059.199721969664</v>
      </c>
    </row>
    <row r="4237" spans="1:2" x14ac:dyDescent="0.2">
      <c r="A4237">
        <v>211.91983426871593</v>
      </c>
      <c r="B4237">
        <v>11068.636926075327</v>
      </c>
    </row>
    <row r="4238" spans="1:2" x14ac:dyDescent="0.2">
      <c r="A4238">
        <v>2783.0169088739203</v>
      </c>
      <c r="B4238">
        <v>11069.710918881814</v>
      </c>
    </row>
    <row r="4239" spans="1:2" x14ac:dyDescent="0.2">
      <c r="A4239">
        <v>-2281.7208208576194</v>
      </c>
      <c r="B4239">
        <v>11102.139790548506</v>
      </c>
    </row>
    <row r="4240" spans="1:2" x14ac:dyDescent="0.2">
      <c r="A4240">
        <v>4719.4150657361897</v>
      </c>
      <c r="B4240">
        <v>11108.520705267874</v>
      </c>
    </row>
    <row r="4241" spans="1:2" x14ac:dyDescent="0.2">
      <c r="A4241">
        <v>-1224.2677447680326</v>
      </c>
      <c r="B4241">
        <v>11124.369691106403</v>
      </c>
    </row>
    <row r="4242" spans="1:2" x14ac:dyDescent="0.2">
      <c r="A4242">
        <v>15424.035278458003</v>
      </c>
      <c r="B4242">
        <v>11135.448107382806</v>
      </c>
    </row>
    <row r="4243" spans="1:2" x14ac:dyDescent="0.2">
      <c r="A4243">
        <v>7520.0292849615507</v>
      </c>
      <c r="B4243">
        <v>11141.830750236695</v>
      </c>
    </row>
    <row r="4244" spans="1:2" x14ac:dyDescent="0.2">
      <c r="A4244">
        <v>-7971.9993548706407</v>
      </c>
      <c r="B4244">
        <v>11148.410636008834</v>
      </c>
    </row>
    <row r="4245" spans="1:2" x14ac:dyDescent="0.2">
      <c r="A4245">
        <v>8905.5940865673474</v>
      </c>
      <c r="B4245">
        <v>11149.393138543353</v>
      </c>
    </row>
    <row r="4246" spans="1:2" x14ac:dyDescent="0.2">
      <c r="A4246">
        <v>3850.9805275391263</v>
      </c>
      <c r="B4246">
        <v>11155.612158179691</v>
      </c>
    </row>
    <row r="4247" spans="1:2" x14ac:dyDescent="0.2">
      <c r="A4247">
        <v>-2552.0629189233878</v>
      </c>
      <c r="B4247">
        <v>11168.995085939037</v>
      </c>
    </row>
    <row r="4248" spans="1:2" x14ac:dyDescent="0.2">
      <c r="A4248">
        <v>11433.722969779221</v>
      </c>
      <c r="B4248">
        <v>11171.894261508598</v>
      </c>
    </row>
    <row r="4249" spans="1:2" x14ac:dyDescent="0.2">
      <c r="A4249">
        <v>-12035.618804099096</v>
      </c>
      <c r="B4249">
        <v>11175.587282082648</v>
      </c>
    </row>
    <row r="4250" spans="1:2" x14ac:dyDescent="0.2">
      <c r="A4250">
        <v>-19790.083279431274</v>
      </c>
      <c r="B4250">
        <v>11175.745829087566</v>
      </c>
    </row>
    <row r="4251" spans="1:2" x14ac:dyDescent="0.2">
      <c r="A4251">
        <v>10675.107979335706</v>
      </c>
      <c r="B4251">
        <v>11181.285046162899</v>
      </c>
    </row>
    <row r="4252" spans="1:2" x14ac:dyDescent="0.2">
      <c r="A4252">
        <v>11946.029465471569</v>
      </c>
      <c r="B4252">
        <v>11186.266269954038</v>
      </c>
    </row>
    <row r="4253" spans="1:2" x14ac:dyDescent="0.2">
      <c r="A4253">
        <v>-1827.5849493429705</v>
      </c>
      <c r="B4253">
        <v>11199.819052708452</v>
      </c>
    </row>
    <row r="4254" spans="1:2" x14ac:dyDescent="0.2">
      <c r="A4254">
        <v>-18402.689316787233</v>
      </c>
      <c r="B4254">
        <v>11212.758078323008</v>
      </c>
    </row>
    <row r="4255" spans="1:2" x14ac:dyDescent="0.2">
      <c r="A4255">
        <v>13238.891665089061</v>
      </c>
      <c r="B4255">
        <v>11227.399303925224</v>
      </c>
    </row>
    <row r="4256" spans="1:2" x14ac:dyDescent="0.2">
      <c r="A4256">
        <v>24209.834536858427</v>
      </c>
      <c r="B4256">
        <v>11234.044654207421</v>
      </c>
    </row>
    <row r="4257" spans="1:2" x14ac:dyDescent="0.2">
      <c r="A4257">
        <v>-17954.602877238998</v>
      </c>
      <c r="B4257">
        <v>11237.629158069903</v>
      </c>
    </row>
    <row r="4258" spans="1:2" x14ac:dyDescent="0.2">
      <c r="A4258">
        <v>-5498.8277993845986</v>
      </c>
      <c r="B4258">
        <v>11243.473034348746</v>
      </c>
    </row>
    <row r="4259" spans="1:2" x14ac:dyDescent="0.2">
      <c r="A4259">
        <v>11678.22349460618</v>
      </c>
      <c r="B4259">
        <v>11247.255074409768</v>
      </c>
    </row>
    <row r="4260" spans="1:2" x14ac:dyDescent="0.2">
      <c r="A4260">
        <v>14102.679761208157</v>
      </c>
      <c r="B4260">
        <v>11249.719326437451</v>
      </c>
    </row>
    <row r="4261" spans="1:2" x14ac:dyDescent="0.2">
      <c r="A4261">
        <v>-4123.525446172629</v>
      </c>
      <c r="B4261">
        <v>11267.116093453398</v>
      </c>
    </row>
    <row r="4262" spans="1:2" x14ac:dyDescent="0.2">
      <c r="A4262">
        <v>-15011.954991535807</v>
      </c>
      <c r="B4262">
        <v>11276.976299730799</v>
      </c>
    </row>
    <row r="4263" spans="1:2" x14ac:dyDescent="0.2">
      <c r="A4263">
        <v>2456.4320034806442</v>
      </c>
      <c r="B4263">
        <v>11278.053104728257</v>
      </c>
    </row>
    <row r="4264" spans="1:2" x14ac:dyDescent="0.2">
      <c r="A4264">
        <v>5847.3181154427584</v>
      </c>
      <c r="B4264">
        <v>11283.366938612569</v>
      </c>
    </row>
    <row r="4265" spans="1:2" x14ac:dyDescent="0.2">
      <c r="A4265">
        <v>10513.75755931178</v>
      </c>
      <c r="B4265">
        <v>11283.568158724636</v>
      </c>
    </row>
    <row r="4266" spans="1:2" x14ac:dyDescent="0.2">
      <c r="A4266">
        <v>11135.448107382806</v>
      </c>
      <c r="B4266">
        <v>11287.67184349196</v>
      </c>
    </row>
    <row r="4267" spans="1:2" x14ac:dyDescent="0.2">
      <c r="A4267">
        <v>-3767.7827975931286</v>
      </c>
      <c r="B4267">
        <v>11297.465347948688</v>
      </c>
    </row>
    <row r="4268" spans="1:2" x14ac:dyDescent="0.2">
      <c r="A4268">
        <v>5072.8673899081914</v>
      </c>
      <c r="B4268">
        <v>11306.696575542272</v>
      </c>
    </row>
    <row r="4269" spans="1:2" x14ac:dyDescent="0.2">
      <c r="A4269">
        <v>-1142.5490737755317</v>
      </c>
      <c r="B4269">
        <v>11321.441592524934</v>
      </c>
    </row>
    <row r="4270" spans="1:2" x14ac:dyDescent="0.2">
      <c r="A4270">
        <v>13970.968975041906</v>
      </c>
      <c r="B4270">
        <v>11323.251180853957</v>
      </c>
    </row>
    <row r="4271" spans="1:2" x14ac:dyDescent="0.2">
      <c r="A4271">
        <v>6800.6017599198385</v>
      </c>
      <c r="B4271">
        <v>11325.409800278692</v>
      </c>
    </row>
    <row r="4272" spans="1:2" x14ac:dyDescent="0.2">
      <c r="A4272">
        <v>10895.377872134966</v>
      </c>
      <c r="B4272">
        <v>11347.461666586227</v>
      </c>
    </row>
    <row r="4273" spans="1:2" x14ac:dyDescent="0.2">
      <c r="A4273">
        <v>471.73627386000589</v>
      </c>
      <c r="B4273">
        <v>11369.743962137785</v>
      </c>
    </row>
    <row r="4274" spans="1:2" x14ac:dyDescent="0.2">
      <c r="A4274">
        <v>5266.1547085571801</v>
      </c>
      <c r="B4274">
        <v>11371.941167598387</v>
      </c>
    </row>
    <row r="4275" spans="1:2" x14ac:dyDescent="0.2">
      <c r="A4275">
        <v>-17972.252561239002</v>
      </c>
      <c r="B4275">
        <v>11383.401149712794</v>
      </c>
    </row>
    <row r="4276" spans="1:2" x14ac:dyDescent="0.2">
      <c r="A4276">
        <v>-3870.734566416766</v>
      </c>
      <c r="B4276">
        <v>11391.041921521828</v>
      </c>
    </row>
    <row r="4277" spans="1:2" x14ac:dyDescent="0.2">
      <c r="A4277">
        <v>-17691.699019495049</v>
      </c>
      <c r="B4277">
        <v>11393.970282400696</v>
      </c>
    </row>
    <row r="4278" spans="1:2" x14ac:dyDescent="0.2">
      <c r="A4278">
        <v>1597.1920918480901</v>
      </c>
      <c r="B4278">
        <v>11407.374349100661</v>
      </c>
    </row>
    <row r="4279" spans="1:2" x14ac:dyDescent="0.2">
      <c r="A4279">
        <v>720.48229467734927</v>
      </c>
      <c r="B4279">
        <v>11410.706364399986</v>
      </c>
    </row>
    <row r="4280" spans="1:2" x14ac:dyDescent="0.2">
      <c r="A4280">
        <v>18426.935779113745</v>
      </c>
      <c r="B4280">
        <v>11420.058341852273</v>
      </c>
    </row>
    <row r="4281" spans="1:2" x14ac:dyDescent="0.2">
      <c r="A4281">
        <v>8542.1137930733385</v>
      </c>
      <c r="B4281">
        <v>11433.108984180901</v>
      </c>
    </row>
    <row r="4282" spans="1:2" x14ac:dyDescent="0.2">
      <c r="A4282">
        <v>-2151.0128408285382</v>
      </c>
      <c r="B4282">
        <v>11433.722969779221</v>
      </c>
    </row>
    <row r="4283" spans="1:2" x14ac:dyDescent="0.2">
      <c r="A4283">
        <v>7238.1200662665942</v>
      </c>
      <c r="B4283">
        <v>11446.767962351412</v>
      </c>
    </row>
    <row r="4284" spans="1:2" x14ac:dyDescent="0.2">
      <c r="A4284">
        <v>481.1371037633071</v>
      </c>
      <c r="B4284">
        <v>11463.836945291085</v>
      </c>
    </row>
    <row r="4285" spans="1:2" x14ac:dyDescent="0.2">
      <c r="A4285">
        <v>-8296.4558346007834</v>
      </c>
      <c r="B4285">
        <v>11474.078289480589</v>
      </c>
    </row>
    <row r="4286" spans="1:2" x14ac:dyDescent="0.2">
      <c r="A4286">
        <v>19866.247575980466</v>
      </c>
      <c r="B4286">
        <v>11477.975231146847</v>
      </c>
    </row>
    <row r="4287" spans="1:2" x14ac:dyDescent="0.2">
      <c r="A4287">
        <v>11393.970282400696</v>
      </c>
      <c r="B4287">
        <v>11486.259589549794</v>
      </c>
    </row>
    <row r="4288" spans="1:2" x14ac:dyDescent="0.2">
      <c r="A4288">
        <v>-685.51326522222371</v>
      </c>
      <c r="B4288">
        <v>11486.873912367009</v>
      </c>
    </row>
    <row r="4289" spans="1:2" x14ac:dyDescent="0.2">
      <c r="A4289">
        <v>-8452.774266014836</v>
      </c>
      <c r="B4289">
        <v>11503.441788656695</v>
      </c>
    </row>
    <row r="4290" spans="1:2" x14ac:dyDescent="0.2">
      <c r="A4290">
        <v>-5558.1603887352394</v>
      </c>
      <c r="B4290">
        <v>11508.201720395649</v>
      </c>
    </row>
    <row r="4291" spans="1:2" x14ac:dyDescent="0.2">
      <c r="A4291">
        <v>11175.745829087566</v>
      </c>
      <c r="B4291">
        <v>11528.760813687099</v>
      </c>
    </row>
    <row r="4292" spans="1:2" x14ac:dyDescent="0.2">
      <c r="A4292">
        <v>13825.126958708235</v>
      </c>
      <c r="B4292">
        <v>11531.958608704968</v>
      </c>
    </row>
    <row r="4293" spans="1:2" x14ac:dyDescent="0.2">
      <c r="A4293">
        <v>-115.94737963977968</v>
      </c>
      <c r="B4293">
        <v>11532.848454838677</v>
      </c>
    </row>
    <row r="4294" spans="1:2" x14ac:dyDescent="0.2">
      <c r="A4294">
        <v>7335.2548056078376</v>
      </c>
      <c r="B4294">
        <v>11537.38916725936</v>
      </c>
    </row>
    <row r="4295" spans="1:2" x14ac:dyDescent="0.2">
      <c r="A4295">
        <v>-11226.323338283168</v>
      </c>
      <c r="B4295">
        <v>11537.701185673825</v>
      </c>
    </row>
    <row r="4296" spans="1:2" x14ac:dyDescent="0.2">
      <c r="A4296">
        <v>21633.278374765185</v>
      </c>
      <c r="B4296">
        <v>11538.10679535009</v>
      </c>
    </row>
    <row r="4297" spans="1:2" x14ac:dyDescent="0.2">
      <c r="A4297">
        <v>6122.572371020884</v>
      </c>
      <c r="B4297">
        <v>11538.240264127526</v>
      </c>
    </row>
    <row r="4298" spans="1:2" x14ac:dyDescent="0.2">
      <c r="A4298">
        <v>19355.939516971936</v>
      </c>
      <c r="B4298">
        <v>11549.036380588106</v>
      </c>
    </row>
    <row r="4299" spans="1:2" x14ac:dyDescent="0.2">
      <c r="A4299">
        <v>11528.760813687099</v>
      </c>
      <c r="B4299">
        <v>11564.370033801883</v>
      </c>
    </row>
    <row r="4300" spans="1:2" x14ac:dyDescent="0.2">
      <c r="A4300">
        <v>-3801.2025136735465</v>
      </c>
      <c r="B4300">
        <v>11571.621615686861</v>
      </c>
    </row>
    <row r="4301" spans="1:2" x14ac:dyDescent="0.2">
      <c r="A4301">
        <v>-239.7181825361331</v>
      </c>
      <c r="B4301">
        <v>11578.183552213653</v>
      </c>
    </row>
    <row r="4302" spans="1:2" x14ac:dyDescent="0.2">
      <c r="A4302">
        <v>432.56039518804755</v>
      </c>
      <c r="B4302">
        <v>11587.2944107558</v>
      </c>
    </row>
    <row r="4303" spans="1:2" x14ac:dyDescent="0.2">
      <c r="A4303">
        <v>7282.7031938502041</v>
      </c>
      <c r="B4303">
        <v>11593.980269256805</v>
      </c>
    </row>
    <row r="4304" spans="1:2" x14ac:dyDescent="0.2">
      <c r="A4304">
        <v>-4222.454562683939</v>
      </c>
      <c r="B4304">
        <v>11594.236921341275</v>
      </c>
    </row>
    <row r="4305" spans="1:2" x14ac:dyDescent="0.2">
      <c r="A4305">
        <v>10282.604589610535</v>
      </c>
      <c r="B4305">
        <v>11597.302882253105</v>
      </c>
    </row>
    <row r="4306" spans="1:2" x14ac:dyDescent="0.2">
      <c r="A4306">
        <v>-10.606699780590134</v>
      </c>
      <c r="B4306">
        <v>11603.616329603814</v>
      </c>
    </row>
    <row r="4307" spans="1:2" x14ac:dyDescent="0.2">
      <c r="A4307">
        <v>-20473.352532491932</v>
      </c>
      <c r="B4307">
        <v>11615.812098771858</v>
      </c>
    </row>
    <row r="4308" spans="1:2" x14ac:dyDescent="0.2">
      <c r="A4308">
        <v>-12768.657703982084</v>
      </c>
      <c r="B4308">
        <v>11642.686299882218</v>
      </c>
    </row>
    <row r="4309" spans="1:2" x14ac:dyDescent="0.2">
      <c r="A4309">
        <v>5868.4739684927627</v>
      </c>
      <c r="B4309">
        <v>11657.868919557775</v>
      </c>
    </row>
    <row r="4310" spans="1:2" x14ac:dyDescent="0.2">
      <c r="A4310">
        <v>5066.1336548798135</v>
      </c>
      <c r="B4310">
        <v>11661.955942077271</v>
      </c>
    </row>
    <row r="4311" spans="1:2" x14ac:dyDescent="0.2">
      <c r="A4311">
        <v>24133.10394289167</v>
      </c>
      <c r="B4311">
        <v>11678.22349460618</v>
      </c>
    </row>
    <row r="4312" spans="1:2" x14ac:dyDescent="0.2">
      <c r="A4312">
        <v>14424.915154726739</v>
      </c>
      <c r="B4312">
        <v>11699.537540042045</v>
      </c>
    </row>
    <row r="4313" spans="1:2" x14ac:dyDescent="0.2">
      <c r="A4313">
        <v>6291.5807645353489</v>
      </c>
      <c r="B4313">
        <v>11701.230074163323</v>
      </c>
    </row>
    <row r="4314" spans="1:2" x14ac:dyDescent="0.2">
      <c r="A4314">
        <v>-6887.3811147249071</v>
      </c>
      <c r="B4314">
        <v>11706.490477158339</v>
      </c>
    </row>
    <row r="4315" spans="1:2" x14ac:dyDescent="0.2">
      <c r="A4315">
        <v>-10445.956165002484</v>
      </c>
      <c r="B4315">
        <v>11707.43844285293</v>
      </c>
    </row>
    <row r="4316" spans="1:2" x14ac:dyDescent="0.2">
      <c r="A4316">
        <v>7237.5830847243778</v>
      </c>
      <c r="B4316">
        <v>11712.453318066197</v>
      </c>
    </row>
    <row r="4317" spans="1:2" x14ac:dyDescent="0.2">
      <c r="A4317">
        <v>2374.8225955996895</v>
      </c>
      <c r="B4317">
        <v>11718.713590258005</v>
      </c>
    </row>
    <row r="4318" spans="1:2" x14ac:dyDescent="0.2">
      <c r="A4318">
        <v>-1289.3446824192069</v>
      </c>
      <c r="B4318">
        <v>11719.057352681702</v>
      </c>
    </row>
    <row r="4319" spans="1:2" x14ac:dyDescent="0.2">
      <c r="A4319">
        <v>-3866.8386798674765</v>
      </c>
      <c r="B4319">
        <v>11747.055861087632</v>
      </c>
    </row>
    <row r="4320" spans="1:2" x14ac:dyDescent="0.2">
      <c r="A4320">
        <v>4551.4318447377591</v>
      </c>
      <c r="B4320">
        <v>11749.48461944866</v>
      </c>
    </row>
    <row r="4321" spans="1:2" x14ac:dyDescent="0.2">
      <c r="A4321">
        <v>-10165.752809419297</v>
      </c>
      <c r="B4321">
        <v>11752.76615319759</v>
      </c>
    </row>
    <row r="4322" spans="1:2" x14ac:dyDescent="0.2">
      <c r="A4322">
        <v>27650.174903372194</v>
      </c>
      <c r="B4322">
        <v>11772.465311404609</v>
      </c>
    </row>
    <row r="4323" spans="1:2" x14ac:dyDescent="0.2">
      <c r="A4323">
        <v>-15193.619799859996</v>
      </c>
      <c r="B4323">
        <v>11789.771691252099</v>
      </c>
    </row>
    <row r="4324" spans="1:2" x14ac:dyDescent="0.2">
      <c r="A4324">
        <v>18113.122915055428</v>
      </c>
      <c r="B4324">
        <v>11798.552257587522</v>
      </c>
    </row>
    <row r="4325" spans="1:2" x14ac:dyDescent="0.2">
      <c r="A4325">
        <v>10892.874030645384</v>
      </c>
      <c r="B4325">
        <v>11799.909077693119</v>
      </c>
    </row>
    <row r="4326" spans="1:2" x14ac:dyDescent="0.2">
      <c r="A4326">
        <v>10018.033793618204</v>
      </c>
      <c r="B4326">
        <v>11801.020989699929</v>
      </c>
    </row>
    <row r="4327" spans="1:2" x14ac:dyDescent="0.2">
      <c r="A4327">
        <v>-11763.996211923717</v>
      </c>
      <c r="B4327">
        <v>11813.09000347805</v>
      </c>
    </row>
    <row r="4328" spans="1:2" x14ac:dyDescent="0.2">
      <c r="A4328">
        <v>8585.0472831303196</v>
      </c>
      <c r="B4328">
        <v>11818.609447843919</v>
      </c>
    </row>
    <row r="4329" spans="1:2" x14ac:dyDescent="0.2">
      <c r="A4329">
        <v>-14305.574767333193</v>
      </c>
      <c r="B4329">
        <v>11830.555454973422</v>
      </c>
    </row>
    <row r="4330" spans="1:2" x14ac:dyDescent="0.2">
      <c r="A4330">
        <v>-477.80489502925775</v>
      </c>
      <c r="B4330">
        <v>11834.543033626484</v>
      </c>
    </row>
    <row r="4331" spans="1:2" x14ac:dyDescent="0.2">
      <c r="A4331">
        <v>-9013.0794452146802</v>
      </c>
      <c r="B4331">
        <v>11841.487529661652</v>
      </c>
    </row>
    <row r="4332" spans="1:2" x14ac:dyDescent="0.2">
      <c r="A4332">
        <v>-3955.6443147198879</v>
      </c>
      <c r="B4332">
        <v>11846.321568315587</v>
      </c>
    </row>
    <row r="4333" spans="1:2" x14ac:dyDescent="0.2">
      <c r="A4333">
        <v>1823.5404651961871</v>
      </c>
      <c r="B4333">
        <v>11850.118742836814</v>
      </c>
    </row>
    <row r="4334" spans="1:2" x14ac:dyDescent="0.2">
      <c r="A4334">
        <v>-6753.8021996184252</v>
      </c>
      <c r="B4334">
        <v>11853.976632543665</v>
      </c>
    </row>
    <row r="4335" spans="1:2" x14ac:dyDescent="0.2">
      <c r="A4335">
        <v>-2531.8597139727499</v>
      </c>
      <c r="B4335">
        <v>11865.730669752171</v>
      </c>
    </row>
    <row r="4336" spans="1:2" x14ac:dyDescent="0.2">
      <c r="A4336">
        <v>5279.5867955839494</v>
      </c>
      <c r="B4336">
        <v>11873.689225393173</v>
      </c>
    </row>
    <row r="4337" spans="1:2" x14ac:dyDescent="0.2">
      <c r="A4337">
        <v>13456.737777686096</v>
      </c>
      <c r="B4337">
        <v>11875.503863398306</v>
      </c>
    </row>
    <row r="4338" spans="1:2" x14ac:dyDescent="0.2">
      <c r="A4338">
        <v>10104.301638254488</v>
      </c>
      <c r="B4338">
        <v>11876.542522532691</v>
      </c>
    </row>
    <row r="4339" spans="1:2" x14ac:dyDescent="0.2">
      <c r="A4339">
        <v>10073.135742959304</v>
      </c>
      <c r="B4339">
        <v>11880.642893182579</v>
      </c>
    </row>
    <row r="4340" spans="1:2" x14ac:dyDescent="0.2">
      <c r="A4340">
        <v>19988.356192588399</v>
      </c>
      <c r="B4340">
        <v>11884.428283028479</v>
      </c>
    </row>
    <row r="4341" spans="1:2" x14ac:dyDescent="0.2">
      <c r="A4341">
        <v>-18655.649495882564</v>
      </c>
      <c r="B4341">
        <v>11888.194621897361</v>
      </c>
    </row>
    <row r="4342" spans="1:2" x14ac:dyDescent="0.2">
      <c r="A4342">
        <v>6705.6817945509101</v>
      </c>
      <c r="B4342">
        <v>11905.998571572069</v>
      </c>
    </row>
    <row r="4343" spans="1:2" x14ac:dyDescent="0.2">
      <c r="A4343">
        <v>-557.12829783270718</v>
      </c>
      <c r="B4343">
        <v>11913.805235814361</v>
      </c>
    </row>
    <row r="4344" spans="1:2" x14ac:dyDescent="0.2">
      <c r="A4344">
        <v>-3949.2716812587169</v>
      </c>
      <c r="B4344">
        <v>11923.779932701524</v>
      </c>
    </row>
    <row r="4345" spans="1:2" x14ac:dyDescent="0.2">
      <c r="A4345">
        <v>5797.1889292092528</v>
      </c>
      <c r="B4345">
        <v>11927.421040653571</v>
      </c>
    </row>
    <row r="4346" spans="1:2" x14ac:dyDescent="0.2">
      <c r="A4346">
        <v>3249.4252379428945</v>
      </c>
      <c r="B4346">
        <v>11939.559685292101</v>
      </c>
    </row>
    <row r="4347" spans="1:2" x14ac:dyDescent="0.2">
      <c r="A4347">
        <v>4389.7509218880732</v>
      </c>
      <c r="B4347">
        <v>11941.674520301167</v>
      </c>
    </row>
    <row r="4348" spans="1:2" x14ac:dyDescent="0.2">
      <c r="A4348">
        <v>9503.8530089868</v>
      </c>
      <c r="B4348">
        <v>11946.029465471569</v>
      </c>
    </row>
    <row r="4349" spans="1:2" x14ac:dyDescent="0.2">
      <c r="A4349">
        <v>-2169.3908319974726</v>
      </c>
      <c r="B4349">
        <v>11947.174104666687</v>
      </c>
    </row>
    <row r="4350" spans="1:2" x14ac:dyDescent="0.2">
      <c r="A4350">
        <v>3086.4837681197678</v>
      </c>
      <c r="B4350">
        <v>11948.740676375222</v>
      </c>
    </row>
    <row r="4351" spans="1:2" x14ac:dyDescent="0.2">
      <c r="A4351">
        <v>-1453.859747984854</v>
      </c>
      <c r="B4351">
        <v>11951.861567395856</v>
      </c>
    </row>
    <row r="4352" spans="1:2" x14ac:dyDescent="0.2">
      <c r="A4352">
        <v>-13868.34115258063</v>
      </c>
      <c r="B4352">
        <v>11953.009030810208</v>
      </c>
    </row>
    <row r="4353" spans="1:2" x14ac:dyDescent="0.2">
      <c r="A4353">
        <v>-9548.2262750867812</v>
      </c>
      <c r="B4353">
        <v>11957.252832599217</v>
      </c>
    </row>
    <row r="4354" spans="1:2" x14ac:dyDescent="0.2">
      <c r="A4354">
        <v>1871.3744987801183</v>
      </c>
      <c r="B4354">
        <v>11964.014858969313</v>
      </c>
    </row>
    <row r="4355" spans="1:2" x14ac:dyDescent="0.2">
      <c r="A4355">
        <v>7396.890305447916</v>
      </c>
      <c r="B4355">
        <v>11964.5245599029</v>
      </c>
    </row>
    <row r="4356" spans="1:2" x14ac:dyDescent="0.2">
      <c r="A4356">
        <v>-3358.6899734449398</v>
      </c>
      <c r="B4356">
        <v>11977.756479161559</v>
      </c>
    </row>
    <row r="4357" spans="1:2" x14ac:dyDescent="0.2">
      <c r="A4357">
        <v>311.5222536981164</v>
      </c>
      <c r="B4357">
        <v>11990.615828697133</v>
      </c>
    </row>
    <row r="4358" spans="1:2" x14ac:dyDescent="0.2">
      <c r="A4358">
        <v>21616.742220065615</v>
      </c>
      <c r="B4358">
        <v>11994.02368274529</v>
      </c>
    </row>
    <row r="4359" spans="1:2" x14ac:dyDescent="0.2">
      <c r="A4359">
        <v>-2724.6364312462974</v>
      </c>
      <c r="B4359">
        <v>11996.894322960521</v>
      </c>
    </row>
    <row r="4360" spans="1:2" x14ac:dyDescent="0.2">
      <c r="A4360">
        <v>2776.861794045486</v>
      </c>
      <c r="B4360">
        <v>12032.034601434949</v>
      </c>
    </row>
    <row r="4361" spans="1:2" x14ac:dyDescent="0.2">
      <c r="A4361">
        <v>-1567.1421301455703</v>
      </c>
      <c r="B4361">
        <v>12046.385124021908</v>
      </c>
    </row>
    <row r="4362" spans="1:2" x14ac:dyDescent="0.2">
      <c r="A4362">
        <v>5441.7597443473933</v>
      </c>
      <c r="B4362">
        <v>12054.498174409819</v>
      </c>
    </row>
    <row r="4363" spans="1:2" x14ac:dyDescent="0.2">
      <c r="A4363">
        <v>-1284.173699595558</v>
      </c>
      <c r="B4363">
        <v>12062.973178204731</v>
      </c>
    </row>
    <row r="4364" spans="1:2" x14ac:dyDescent="0.2">
      <c r="A4364">
        <v>-9613.3162039719755</v>
      </c>
      <c r="B4364">
        <v>12065.732430911099</v>
      </c>
    </row>
    <row r="4365" spans="1:2" x14ac:dyDescent="0.2">
      <c r="A4365">
        <v>16579.231180113682</v>
      </c>
      <c r="B4365">
        <v>12068.833395132038</v>
      </c>
    </row>
    <row r="4366" spans="1:2" x14ac:dyDescent="0.2">
      <c r="A4366">
        <v>12816.043594759074</v>
      </c>
      <c r="B4366">
        <v>12070.566411763197</v>
      </c>
    </row>
    <row r="4367" spans="1:2" x14ac:dyDescent="0.2">
      <c r="A4367">
        <v>7043.2074225424731</v>
      </c>
      <c r="B4367">
        <v>12070.776155484375</v>
      </c>
    </row>
    <row r="4368" spans="1:2" x14ac:dyDescent="0.2">
      <c r="A4368">
        <v>8525.8830529905972</v>
      </c>
      <c r="B4368">
        <v>12079.852275329555</v>
      </c>
    </row>
    <row r="4369" spans="1:2" x14ac:dyDescent="0.2">
      <c r="A4369">
        <v>-3599.376532215887</v>
      </c>
      <c r="B4369">
        <v>12082.289820599835</v>
      </c>
    </row>
    <row r="4370" spans="1:2" x14ac:dyDescent="0.2">
      <c r="A4370">
        <v>14514.998884504894</v>
      </c>
      <c r="B4370">
        <v>12088.678542234295</v>
      </c>
    </row>
    <row r="4371" spans="1:2" x14ac:dyDescent="0.2">
      <c r="A4371">
        <v>1961.6681337796617</v>
      </c>
      <c r="B4371">
        <v>12096.088279471849</v>
      </c>
    </row>
    <row r="4372" spans="1:2" x14ac:dyDescent="0.2">
      <c r="A4372">
        <v>-10143.262099552987</v>
      </c>
      <c r="B4372">
        <v>12096.24793274542</v>
      </c>
    </row>
    <row r="4373" spans="1:2" x14ac:dyDescent="0.2">
      <c r="A4373">
        <v>19028.123620850558</v>
      </c>
      <c r="B4373">
        <v>12098.254265101976</v>
      </c>
    </row>
    <row r="4374" spans="1:2" x14ac:dyDescent="0.2">
      <c r="A4374">
        <v>1747.2197456083377</v>
      </c>
      <c r="B4374">
        <v>12111.664925629331</v>
      </c>
    </row>
    <row r="4375" spans="1:2" x14ac:dyDescent="0.2">
      <c r="A4375">
        <v>376.9426233843551</v>
      </c>
      <c r="B4375">
        <v>12111.788631480624</v>
      </c>
    </row>
    <row r="4376" spans="1:2" x14ac:dyDescent="0.2">
      <c r="A4376">
        <v>2521.7187820067047</v>
      </c>
      <c r="B4376">
        <v>12115.238352421205</v>
      </c>
    </row>
    <row r="4377" spans="1:2" x14ac:dyDescent="0.2">
      <c r="A4377">
        <v>10365.177694077429</v>
      </c>
      <c r="B4377">
        <v>12118.318744481905</v>
      </c>
    </row>
    <row r="4378" spans="1:2" x14ac:dyDescent="0.2">
      <c r="A4378">
        <v>2085.074031480297</v>
      </c>
      <c r="B4378">
        <v>12122.948821242753</v>
      </c>
    </row>
    <row r="4379" spans="1:2" x14ac:dyDescent="0.2">
      <c r="A4379">
        <v>-2589.4576805062825</v>
      </c>
      <c r="B4379">
        <v>12143.714800568967</v>
      </c>
    </row>
    <row r="4380" spans="1:2" x14ac:dyDescent="0.2">
      <c r="A4380">
        <v>5464.0641212448827</v>
      </c>
      <c r="B4380">
        <v>12156.27697023662</v>
      </c>
    </row>
    <row r="4381" spans="1:2" x14ac:dyDescent="0.2">
      <c r="A4381">
        <v>-5664.181567408843</v>
      </c>
      <c r="B4381">
        <v>12163.529479783028</v>
      </c>
    </row>
    <row r="4382" spans="1:2" x14ac:dyDescent="0.2">
      <c r="A4382">
        <v>-12687.634093888686</v>
      </c>
      <c r="B4382">
        <v>12169.453733303177</v>
      </c>
    </row>
    <row r="4383" spans="1:2" x14ac:dyDescent="0.2">
      <c r="A4383">
        <v>2162.944026760757</v>
      </c>
      <c r="B4383">
        <v>12172.741160422462</v>
      </c>
    </row>
    <row r="4384" spans="1:2" x14ac:dyDescent="0.2">
      <c r="A4384">
        <v>848.04598945926409</v>
      </c>
      <c r="B4384">
        <v>12182.043971317849</v>
      </c>
    </row>
    <row r="4385" spans="1:2" x14ac:dyDescent="0.2">
      <c r="A4385">
        <v>10947.727170484461</v>
      </c>
      <c r="B4385">
        <v>12197.170634992188</v>
      </c>
    </row>
    <row r="4386" spans="1:2" x14ac:dyDescent="0.2">
      <c r="A4386">
        <v>-29509.94451325835</v>
      </c>
      <c r="B4386">
        <v>12203.182401412225</v>
      </c>
    </row>
    <row r="4387" spans="1:2" x14ac:dyDescent="0.2">
      <c r="A4387">
        <v>-12910.415976383316</v>
      </c>
      <c r="B4387">
        <v>12203.859261267993</v>
      </c>
    </row>
    <row r="4388" spans="1:2" x14ac:dyDescent="0.2">
      <c r="A4388">
        <v>-8111.3232069511141</v>
      </c>
      <c r="B4388">
        <v>12217.560153523256</v>
      </c>
    </row>
    <row r="4389" spans="1:2" x14ac:dyDescent="0.2">
      <c r="A4389">
        <v>6888.8633623370552</v>
      </c>
      <c r="B4389">
        <v>12224.588207874593</v>
      </c>
    </row>
    <row r="4390" spans="1:2" x14ac:dyDescent="0.2">
      <c r="A4390">
        <v>7026.8999054475571</v>
      </c>
      <c r="B4390">
        <v>12229.74446626383</v>
      </c>
    </row>
    <row r="4391" spans="1:2" x14ac:dyDescent="0.2">
      <c r="A4391">
        <v>-22436.345743119076</v>
      </c>
      <c r="B4391">
        <v>12243.134308968351</v>
      </c>
    </row>
    <row r="4392" spans="1:2" x14ac:dyDescent="0.2">
      <c r="A4392">
        <v>10668.570842853456</v>
      </c>
      <c r="B4392">
        <v>12243.893708052376</v>
      </c>
    </row>
    <row r="4393" spans="1:2" x14ac:dyDescent="0.2">
      <c r="A4393">
        <v>5214.9271312484634</v>
      </c>
      <c r="B4393">
        <v>12244.120011036124</v>
      </c>
    </row>
    <row r="4394" spans="1:2" x14ac:dyDescent="0.2">
      <c r="A4394">
        <v>5576.0477761525253</v>
      </c>
      <c r="B4394">
        <v>12274.236430660851</v>
      </c>
    </row>
    <row r="4395" spans="1:2" x14ac:dyDescent="0.2">
      <c r="A4395">
        <v>-1762.8208483729977</v>
      </c>
      <c r="B4395">
        <v>12281.748624422878</v>
      </c>
    </row>
    <row r="4396" spans="1:2" x14ac:dyDescent="0.2">
      <c r="A4396">
        <v>-1145.7392084671301</v>
      </c>
      <c r="B4396">
        <v>12286.526964592631</v>
      </c>
    </row>
    <row r="4397" spans="1:2" x14ac:dyDescent="0.2">
      <c r="A4397">
        <v>-8383.5215466567024</v>
      </c>
      <c r="B4397">
        <v>12290.629092337971</v>
      </c>
    </row>
    <row r="4398" spans="1:2" x14ac:dyDescent="0.2">
      <c r="A4398">
        <v>-8779.5378739294829</v>
      </c>
      <c r="B4398">
        <v>12291.991495041351</v>
      </c>
    </row>
    <row r="4399" spans="1:2" x14ac:dyDescent="0.2">
      <c r="A4399">
        <v>-2703.1935987285979</v>
      </c>
      <c r="B4399">
        <v>12299.72801120911</v>
      </c>
    </row>
    <row r="4400" spans="1:2" x14ac:dyDescent="0.2">
      <c r="A4400">
        <v>7264.5688526143786</v>
      </c>
      <c r="B4400">
        <v>12305.820437225833</v>
      </c>
    </row>
    <row r="4401" spans="1:2" x14ac:dyDescent="0.2">
      <c r="A4401">
        <v>4649.7596830037946</v>
      </c>
      <c r="B4401">
        <v>12307.6855728472</v>
      </c>
    </row>
    <row r="4402" spans="1:2" x14ac:dyDescent="0.2">
      <c r="A4402">
        <v>-21498.539705228119</v>
      </c>
      <c r="B4402">
        <v>12321.046529525978</v>
      </c>
    </row>
    <row r="4403" spans="1:2" x14ac:dyDescent="0.2">
      <c r="A4403">
        <v>-8527.0168198063911</v>
      </c>
      <c r="B4403">
        <v>12334.221546826418</v>
      </c>
    </row>
    <row r="4404" spans="1:2" x14ac:dyDescent="0.2">
      <c r="A4404">
        <v>28865.167513027263</v>
      </c>
      <c r="B4404">
        <v>12341.474315646454</v>
      </c>
    </row>
    <row r="4405" spans="1:2" x14ac:dyDescent="0.2">
      <c r="A4405">
        <v>12477.222446105152</v>
      </c>
      <c r="B4405">
        <v>12359.299254860292</v>
      </c>
    </row>
    <row r="4406" spans="1:2" x14ac:dyDescent="0.2">
      <c r="A4406">
        <v>5534.91207112759</v>
      </c>
      <c r="B4406">
        <v>12359.333394534478</v>
      </c>
    </row>
    <row r="4407" spans="1:2" x14ac:dyDescent="0.2">
      <c r="A4407">
        <v>-4163.4437465810915</v>
      </c>
      <c r="B4407">
        <v>12372.056979993009</v>
      </c>
    </row>
    <row r="4408" spans="1:2" x14ac:dyDescent="0.2">
      <c r="A4408">
        <v>-7834.0158840248478</v>
      </c>
      <c r="B4408">
        <v>12379.922910148336</v>
      </c>
    </row>
    <row r="4409" spans="1:2" x14ac:dyDescent="0.2">
      <c r="A4409">
        <v>3217.0918989248748</v>
      </c>
      <c r="B4409">
        <v>12382.090827681299</v>
      </c>
    </row>
    <row r="4410" spans="1:2" x14ac:dyDescent="0.2">
      <c r="A4410">
        <v>-4825.1111667942605</v>
      </c>
      <c r="B4410">
        <v>12387.814363211859</v>
      </c>
    </row>
    <row r="4411" spans="1:2" x14ac:dyDescent="0.2">
      <c r="A4411">
        <v>-8992.6551371181558</v>
      </c>
      <c r="B4411">
        <v>12395.24425425427</v>
      </c>
    </row>
    <row r="4412" spans="1:2" x14ac:dyDescent="0.2">
      <c r="A4412">
        <v>-5102.7975776979583</v>
      </c>
      <c r="B4412">
        <v>12395.422870090377</v>
      </c>
    </row>
    <row r="4413" spans="1:2" x14ac:dyDescent="0.2">
      <c r="A4413">
        <v>3361.0728324980591</v>
      </c>
      <c r="B4413">
        <v>12410.75648604962</v>
      </c>
    </row>
    <row r="4414" spans="1:2" x14ac:dyDescent="0.2">
      <c r="A4414">
        <v>-10300.832484238432</v>
      </c>
      <c r="B4414">
        <v>12421.799613397015</v>
      </c>
    </row>
    <row r="4415" spans="1:2" x14ac:dyDescent="0.2">
      <c r="A4415">
        <v>7693.5606861316483</v>
      </c>
      <c r="B4415">
        <v>12423.477483913361</v>
      </c>
    </row>
    <row r="4416" spans="1:2" x14ac:dyDescent="0.2">
      <c r="A4416">
        <v>26116.252050489653</v>
      </c>
      <c r="B4416">
        <v>12429.973242841341</v>
      </c>
    </row>
    <row r="4417" spans="1:2" x14ac:dyDescent="0.2">
      <c r="A4417">
        <v>10463.460880481376</v>
      </c>
      <c r="B4417">
        <v>12432.809695938529</v>
      </c>
    </row>
    <row r="4418" spans="1:2" x14ac:dyDescent="0.2">
      <c r="A4418">
        <v>-2021.5896000262001</v>
      </c>
      <c r="B4418">
        <v>12440.434254743974</v>
      </c>
    </row>
    <row r="4419" spans="1:2" x14ac:dyDescent="0.2">
      <c r="A4419">
        <v>20176.687787145318</v>
      </c>
      <c r="B4419">
        <v>12440.866027099895</v>
      </c>
    </row>
    <row r="4420" spans="1:2" x14ac:dyDescent="0.2">
      <c r="A4420">
        <v>3061.1697515395354</v>
      </c>
      <c r="B4420">
        <v>12445.11168276699</v>
      </c>
    </row>
    <row r="4421" spans="1:2" x14ac:dyDescent="0.2">
      <c r="A4421">
        <v>1325.3963685626222</v>
      </c>
      <c r="B4421">
        <v>12447.920062338817</v>
      </c>
    </row>
    <row r="4422" spans="1:2" x14ac:dyDescent="0.2">
      <c r="A4422">
        <v>-3912.7349519857089</v>
      </c>
      <c r="B4422">
        <v>12449.436378864892</v>
      </c>
    </row>
    <row r="4423" spans="1:2" x14ac:dyDescent="0.2">
      <c r="A4423">
        <v>7983.2286458431045</v>
      </c>
      <c r="B4423">
        <v>12468.530152308231</v>
      </c>
    </row>
    <row r="4424" spans="1:2" x14ac:dyDescent="0.2">
      <c r="A4424">
        <v>8080.4918520780629</v>
      </c>
      <c r="B4424">
        <v>12475.733424239472</v>
      </c>
    </row>
    <row r="4425" spans="1:2" x14ac:dyDescent="0.2">
      <c r="A4425">
        <v>-5736.6676368852495</v>
      </c>
      <c r="B4425">
        <v>12477.222446105152</v>
      </c>
    </row>
    <row r="4426" spans="1:2" x14ac:dyDescent="0.2">
      <c r="A4426">
        <v>-1262.0629051161231</v>
      </c>
      <c r="B4426">
        <v>12482.781820266944</v>
      </c>
    </row>
    <row r="4427" spans="1:2" x14ac:dyDescent="0.2">
      <c r="A4427">
        <v>2631.4478468771267</v>
      </c>
      <c r="B4427">
        <v>12487.826878316555</v>
      </c>
    </row>
    <row r="4428" spans="1:2" x14ac:dyDescent="0.2">
      <c r="A4428">
        <v>-2895.1653914882336</v>
      </c>
      <c r="B4428">
        <v>12489.293359110656</v>
      </c>
    </row>
    <row r="4429" spans="1:2" x14ac:dyDescent="0.2">
      <c r="A4429">
        <v>-11768.541587673593</v>
      </c>
      <c r="B4429">
        <v>12498.60477083188</v>
      </c>
    </row>
    <row r="4430" spans="1:2" x14ac:dyDescent="0.2">
      <c r="A4430">
        <v>-10403.611949353624</v>
      </c>
      <c r="B4430">
        <v>12523.963554834831</v>
      </c>
    </row>
    <row r="4431" spans="1:2" x14ac:dyDescent="0.2">
      <c r="A4431">
        <v>-11572.852983386867</v>
      </c>
      <c r="B4431">
        <v>12524.502160855714</v>
      </c>
    </row>
    <row r="4432" spans="1:2" x14ac:dyDescent="0.2">
      <c r="A4432">
        <v>12975.56893966248</v>
      </c>
      <c r="B4432">
        <v>12530.250393858354</v>
      </c>
    </row>
    <row r="4433" spans="1:2" x14ac:dyDescent="0.2">
      <c r="A4433">
        <v>-30945.403978435672</v>
      </c>
      <c r="B4433">
        <v>12540.843420205405</v>
      </c>
    </row>
    <row r="4434" spans="1:2" x14ac:dyDescent="0.2">
      <c r="A4434">
        <v>1452.7401460987167</v>
      </c>
      <c r="B4434">
        <v>12551.148312896461</v>
      </c>
    </row>
    <row r="4435" spans="1:2" x14ac:dyDescent="0.2">
      <c r="A4435">
        <v>-2573.8265735866153</v>
      </c>
      <c r="B4435">
        <v>12551.414244243002</v>
      </c>
    </row>
    <row r="4436" spans="1:2" x14ac:dyDescent="0.2">
      <c r="A4436">
        <v>7978.4645555696916</v>
      </c>
      <c r="B4436">
        <v>12573.322565753886</v>
      </c>
    </row>
    <row r="4437" spans="1:2" x14ac:dyDescent="0.2">
      <c r="A4437">
        <v>-3695.0958981485455</v>
      </c>
      <c r="B4437">
        <v>12578.850121213123</v>
      </c>
    </row>
    <row r="4438" spans="1:2" x14ac:dyDescent="0.2">
      <c r="A4438">
        <v>-13085.429849333712</v>
      </c>
      <c r="B4438">
        <v>12583.426848687872</v>
      </c>
    </row>
    <row r="4439" spans="1:2" x14ac:dyDescent="0.2">
      <c r="A4439">
        <v>-13791.597016875923</v>
      </c>
      <c r="B4439">
        <v>12591.421359793283</v>
      </c>
    </row>
    <row r="4440" spans="1:2" x14ac:dyDescent="0.2">
      <c r="A4440">
        <v>-3773.8999678785913</v>
      </c>
      <c r="B4440">
        <v>12611.206849828857</v>
      </c>
    </row>
    <row r="4441" spans="1:2" x14ac:dyDescent="0.2">
      <c r="A4441">
        <v>18495.835942944395</v>
      </c>
      <c r="B4441">
        <v>12638.937644679943</v>
      </c>
    </row>
    <row r="4442" spans="1:2" x14ac:dyDescent="0.2">
      <c r="A4442">
        <v>4473.0216636358527</v>
      </c>
      <c r="B4442">
        <v>12639.854717093287</v>
      </c>
    </row>
    <row r="4443" spans="1:2" x14ac:dyDescent="0.2">
      <c r="A4443">
        <v>-3620.3564833328128</v>
      </c>
      <c r="B4443">
        <v>12651.268477709935</v>
      </c>
    </row>
    <row r="4444" spans="1:2" x14ac:dyDescent="0.2">
      <c r="A4444">
        <v>21146.534914447198</v>
      </c>
      <c r="B4444">
        <v>12653.175848040613</v>
      </c>
    </row>
    <row r="4445" spans="1:2" x14ac:dyDescent="0.2">
      <c r="A4445">
        <v>2966.0178229402518</v>
      </c>
      <c r="B4445">
        <v>12661.718467414612</v>
      </c>
    </row>
    <row r="4446" spans="1:2" x14ac:dyDescent="0.2">
      <c r="A4446">
        <v>-7031.1587360192789</v>
      </c>
      <c r="B4446">
        <v>12664.950336763053</v>
      </c>
    </row>
    <row r="4447" spans="1:2" x14ac:dyDescent="0.2">
      <c r="A4447">
        <v>6735.5371001087187</v>
      </c>
      <c r="B4447">
        <v>12666.657709355059</v>
      </c>
    </row>
    <row r="4448" spans="1:2" x14ac:dyDescent="0.2">
      <c r="A4448">
        <v>-14827.374342134513</v>
      </c>
      <c r="B4448">
        <v>12671.633457043761</v>
      </c>
    </row>
    <row r="4449" spans="1:2" x14ac:dyDescent="0.2">
      <c r="A4449">
        <v>1899.7461613658816</v>
      </c>
      <c r="B4449">
        <v>12673.936199512682</v>
      </c>
    </row>
    <row r="4450" spans="1:2" x14ac:dyDescent="0.2">
      <c r="A4450">
        <v>-4223.6048962276545</v>
      </c>
      <c r="B4450">
        <v>12681.964459812967</v>
      </c>
    </row>
    <row r="4451" spans="1:2" x14ac:dyDescent="0.2">
      <c r="A4451">
        <v>9432.0240794773854</v>
      </c>
      <c r="B4451">
        <v>12686.237486130733</v>
      </c>
    </row>
    <row r="4452" spans="1:2" x14ac:dyDescent="0.2">
      <c r="A4452">
        <v>8306.3039403287985</v>
      </c>
      <c r="B4452">
        <v>12691.755080764939</v>
      </c>
    </row>
    <row r="4453" spans="1:2" x14ac:dyDescent="0.2">
      <c r="A4453">
        <v>1069.4495826630737</v>
      </c>
      <c r="B4453">
        <v>12693.744409690145</v>
      </c>
    </row>
    <row r="4454" spans="1:2" x14ac:dyDescent="0.2">
      <c r="A4454">
        <v>-25966.55264139222</v>
      </c>
      <c r="B4454">
        <v>12715.557230456179</v>
      </c>
    </row>
    <row r="4455" spans="1:2" x14ac:dyDescent="0.2">
      <c r="A4455">
        <v>11789.771691252099</v>
      </c>
      <c r="B4455">
        <v>12717.128075168293</v>
      </c>
    </row>
    <row r="4456" spans="1:2" x14ac:dyDescent="0.2">
      <c r="A4456">
        <v>11752.76615319759</v>
      </c>
      <c r="B4456">
        <v>12726.226262017153</v>
      </c>
    </row>
    <row r="4457" spans="1:2" x14ac:dyDescent="0.2">
      <c r="A4457">
        <v>-2188.1798910881625</v>
      </c>
      <c r="B4457">
        <v>12731.504314184946</v>
      </c>
    </row>
    <row r="4458" spans="1:2" x14ac:dyDescent="0.2">
      <c r="A4458">
        <v>-3179.6003041230142</v>
      </c>
      <c r="B4458">
        <v>12750.117983964185</v>
      </c>
    </row>
    <row r="4459" spans="1:2" x14ac:dyDescent="0.2">
      <c r="A4459">
        <v>-426.96887313298066</v>
      </c>
      <c r="B4459">
        <v>12750.795651814668</v>
      </c>
    </row>
    <row r="4460" spans="1:2" x14ac:dyDescent="0.2">
      <c r="A4460">
        <v>495.6186416404671</v>
      </c>
      <c r="B4460">
        <v>12755.824432705936</v>
      </c>
    </row>
    <row r="4461" spans="1:2" x14ac:dyDescent="0.2">
      <c r="A4461">
        <v>-35320.49755451706</v>
      </c>
      <c r="B4461">
        <v>12758.844633282541</v>
      </c>
    </row>
    <row r="4462" spans="1:2" x14ac:dyDescent="0.2">
      <c r="A4462">
        <v>-8151.9203785334248</v>
      </c>
      <c r="B4462">
        <v>12795.7985311253</v>
      </c>
    </row>
    <row r="4463" spans="1:2" x14ac:dyDescent="0.2">
      <c r="A4463">
        <v>3347.7388301622123</v>
      </c>
      <c r="B4463">
        <v>12816.043594759074</v>
      </c>
    </row>
    <row r="4464" spans="1:2" x14ac:dyDescent="0.2">
      <c r="A4464">
        <v>8988.0180590119853</v>
      </c>
      <c r="B4464">
        <v>12842.613649930572</v>
      </c>
    </row>
    <row r="4465" spans="1:2" x14ac:dyDescent="0.2">
      <c r="A4465">
        <v>321.21962440406787</v>
      </c>
      <c r="B4465">
        <v>12843.206398119786</v>
      </c>
    </row>
    <row r="4466" spans="1:2" x14ac:dyDescent="0.2">
      <c r="A4466">
        <v>-8581.7165434996714</v>
      </c>
      <c r="B4466">
        <v>12844.546333627717</v>
      </c>
    </row>
    <row r="4467" spans="1:2" x14ac:dyDescent="0.2">
      <c r="A4467">
        <v>7623.1366974595003</v>
      </c>
      <c r="B4467">
        <v>12845.352705629964</v>
      </c>
    </row>
    <row r="4468" spans="1:2" x14ac:dyDescent="0.2">
      <c r="A4468">
        <v>-5620.6768915191351</v>
      </c>
      <c r="B4468">
        <v>12849.978594037762</v>
      </c>
    </row>
    <row r="4469" spans="1:2" x14ac:dyDescent="0.2">
      <c r="A4469">
        <v>-2219.9643582818971</v>
      </c>
      <c r="B4469">
        <v>12871.125101118494</v>
      </c>
    </row>
    <row r="4470" spans="1:2" x14ac:dyDescent="0.2">
      <c r="A4470">
        <v>3804.7856228303863</v>
      </c>
      <c r="B4470">
        <v>12880.221091178013</v>
      </c>
    </row>
    <row r="4471" spans="1:2" x14ac:dyDescent="0.2">
      <c r="A4471">
        <v>-842.19969586411025</v>
      </c>
      <c r="B4471">
        <v>12885.881733329006</v>
      </c>
    </row>
    <row r="4472" spans="1:2" x14ac:dyDescent="0.2">
      <c r="A4472">
        <v>-347.46466080893879</v>
      </c>
      <c r="B4472">
        <v>12888.824217011308</v>
      </c>
    </row>
    <row r="4473" spans="1:2" x14ac:dyDescent="0.2">
      <c r="A4473">
        <v>8363.0741814683424</v>
      </c>
      <c r="B4473">
        <v>12896.100370939705</v>
      </c>
    </row>
    <row r="4474" spans="1:2" x14ac:dyDescent="0.2">
      <c r="A4474">
        <v>-1880.0762982611195</v>
      </c>
      <c r="B4474">
        <v>12917.268125567818</v>
      </c>
    </row>
    <row r="4475" spans="1:2" x14ac:dyDescent="0.2">
      <c r="A4475">
        <v>-873.34349937533261</v>
      </c>
      <c r="B4475">
        <v>12968.40867762483</v>
      </c>
    </row>
    <row r="4476" spans="1:2" x14ac:dyDescent="0.2">
      <c r="A4476">
        <v>-13904.796014346357</v>
      </c>
      <c r="B4476">
        <v>12975.56893966248</v>
      </c>
    </row>
    <row r="4477" spans="1:2" x14ac:dyDescent="0.2">
      <c r="A4477">
        <v>-722.50264617282664</v>
      </c>
      <c r="B4477">
        <v>12984.061584833078</v>
      </c>
    </row>
    <row r="4478" spans="1:2" x14ac:dyDescent="0.2">
      <c r="A4478">
        <v>-17957.631453121197</v>
      </c>
      <c r="B4478">
        <v>12992.261077096773</v>
      </c>
    </row>
    <row r="4479" spans="1:2" x14ac:dyDescent="0.2">
      <c r="A4479">
        <v>-2426.2674235859304</v>
      </c>
      <c r="B4479">
        <v>13010.335175712564</v>
      </c>
    </row>
    <row r="4480" spans="1:2" x14ac:dyDescent="0.2">
      <c r="A4480">
        <v>896.35411151047447</v>
      </c>
      <c r="B4480">
        <v>13016.779280365939</v>
      </c>
    </row>
    <row r="4481" spans="1:2" x14ac:dyDescent="0.2">
      <c r="A4481">
        <v>-13610.429954203515</v>
      </c>
      <c r="B4481">
        <v>13019.210257411323</v>
      </c>
    </row>
    <row r="4482" spans="1:2" x14ac:dyDescent="0.2">
      <c r="A4482">
        <v>2344.3140173800639</v>
      </c>
      <c r="B4482">
        <v>13036.005599166092</v>
      </c>
    </row>
    <row r="4483" spans="1:2" x14ac:dyDescent="0.2">
      <c r="A4483">
        <v>9362.8947519542999</v>
      </c>
      <c r="B4483">
        <v>13048.161311716423</v>
      </c>
    </row>
    <row r="4484" spans="1:2" x14ac:dyDescent="0.2">
      <c r="A4484">
        <v>1047.9368820590898</v>
      </c>
      <c r="B4484">
        <v>13048.223532058182</v>
      </c>
    </row>
    <row r="4485" spans="1:2" x14ac:dyDescent="0.2">
      <c r="A4485">
        <v>7695.7608496806788</v>
      </c>
      <c r="B4485">
        <v>13059.590421475907</v>
      </c>
    </row>
    <row r="4486" spans="1:2" x14ac:dyDescent="0.2">
      <c r="A4486">
        <v>-19197.716843308066</v>
      </c>
      <c r="B4486">
        <v>13092.60257956048</v>
      </c>
    </row>
    <row r="4487" spans="1:2" x14ac:dyDescent="0.2">
      <c r="A4487">
        <v>-5078.7354312968091</v>
      </c>
      <c r="B4487">
        <v>13095.830680928484</v>
      </c>
    </row>
    <row r="4488" spans="1:2" x14ac:dyDescent="0.2">
      <c r="A4488">
        <v>5547.8450709142489</v>
      </c>
      <c r="B4488">
        <v>13099.976887041354</v>
      </c>
    </row>
    <row r="4489" spans="1:2" x14ac:dyDescent="0.2">
      <c r="A4489">
        <v>-11893.639198116376</v>
      </c>
      <c r="B4489">
        <v>13155.165633176046</v>
      </c>
    </row>
    <row r="4490" spans="1:2" x14ac:dyDescent="0.2">
      <c r="A4490">
        <v>8489.6495728455193</v>
      </c>
      <c r="B4490">
        <v>13182.871755965345</v>
      </c>
    </row>
    <row r="4491" spans="1:2" x14ac:dyDescent="0.2">
      <c r="A4491">
        <v>7579.3569500647718</v>
      </c>
      <c r="B4491">
        <v>13216.109758090635</v>
      </c>
    </row>
    <row r="4492" spans="1:2" x14ac:dyDescent="0.2">
      <c r="A4492">
        <v>-23216.608552142454</v>
      </c>
      <c r="B4492">
        <v>13220.057531246566</v>
      </c>
    </row>
    <row r="4493" spans="1:2" x14ac:dyDescent="0.2">
      <c r="A4493">
        <v>-3040.3444284010038</v>
      </c>
      <c r="B4493">
        <v>13227.515761531307</v>
      </c>
    </row>
    <row r="4494" spans="1:2" x14ac:dyDescent="0.2">
      <c r="A4494">
        <v>7300.0943402855482</v>
      </c>
      <c r="B4494">
        <v>13231.164363896329</v>
      </c>
    </row>
    <row r="4495" spans="1:2" x14ac:dyDescent="0.2">
      <c r="A4495">
        <v>-4906.0585816584062</v>
      </c>
      <c r="B4495">
        <v>13238.891665089061</v>
      </c>
    </row>
    <row r="4496" spans="1:2" x14ac:dyDescent="0.2">
      <c r="A4496">
        <v>-16093.35047380958</v>
      </c>
      <c r="B4496">
        <v>13255.264828881074</v>
      </c>
    </row>
    <row r="4497" spans="1:2" x14ac:dyDescent="0.2">
      <c r="A4497">
        <v>-2296.690553966735</v>
      </c>
      <c r="B4497">
        <v>13258.038002758985</v>
      </c>
    </row>
    <row r="4498" spans="1:2" x14ac:dyDescent="0.2">
      <c r="A4498">
        <v>2338.2840697262436</v>
      </c>
      <c r="B4498">
        <v>13291.070459549577</v>
      </c>
    </row>
    <row r="4499" spans="1:2" x14ac:dyDescent="0.2">
      <c r="A4499">
        <v>-854.34536510801991</v>
      </c>
      <c r="B4499">
        <v>13304.555850820936</v>
      </c>
    </row>
    <row r="4500" spans="1:2" x14ac:dyDescent="0.2">
      <c r="A4500">
        <v>-9665.8085797878157</v>
      </c>
      <c r="B4500">
        <v>13362.918486877024</v>
      </c>
    </row>
    <row r="4501" spans="1:2" x14ac:dyDescent="0.2">
      <c r="A4501">
        <v>10646.862074089237</v>
      </c>
      <c r="B4501">
        <v>13371.194150569179</v>
      </c>
    </row>
    <row r="4502" spans="1:2" x14ac:dyDescent="0.2">
      <c r="A4502">
        <v>7842.1794639343279</v>
      </c>
      <c r="B4502">
        <v>13388.157772064325</v>
      </c>
    </row>
    <row r="4503" spans="1:2" x14ac:dyDescent="0.2">
      <c r="A4503">
        <v>139.95182265812764</v>
      </c>
      <c r="B4503">
        <v>13389.239042614703</v>
      </c>
    </row>
    <row r="4504" spans="1:2" x14ac:dyDescent="0.2">
      <c r="A4504">
        <v>-25120.15033568861</v>
      </c>
      <c r="B4504">
        <v>13404.115416182176</v>
      </c>
    </row>
    <row r="4505" spans="1:2" x14ac:dyDescent="0.2">
      <c r="A4505">
        <v>13843.239929742296</v>
      </c>
      <c r="B4505">
        <v>13406.941495404957</v>
      </c>
    </row>
    <row r="4506" spans="1:2" x14ac:dyDescent="0.2">
      <c r="A4506">
        <v>-470.868529620755</v>
      </c>
      <c r="B4506">
        <v>13416.563485461927</v>
      </c>
    </row>
    <row r="4507" spans="1:2" x14ac:dyDescent="0.2">
      <c r="A4507">
        <v>-21614.3738365873</v>
      </c>
      <c r="B4507">
        <v>13420.736355917121</v>
      </c>
    </row>
    <row r="4508" spans="1:2" x14ac:dyDescent="0.2">
      <c r="A4508">
        <v>2813.6874825345003</v>
      </c>
      <c r="B4508">
        <v>13425.448508549307</v>
      </c>
    </row>
    <row r="4509" spans="1:2" x14ac:dyDescent="0.2">
      <c r="A4509">
        <v>9403.1395938642963</v>
      </c>
      <c r="B4509">
        <v>13427.435783934634</v>
      </c>
    </row>
    <row r="4510" spans="1:2" x14ac:dyDescent="0.2">
      <c r="A4510">
        <v>9453.2094882360543</v>
      </c>
      <c r="B4510">
        <v>13431.484040658863</v>
      </c>
    </row>
    <row r="4511" spans="1:2" x14ac:dyDescent="0.2">
      <c r="A4511">
        <v>-6799.731366664957</v>
      </c>
      <c r="B4511">
        <v>13436.773760280979</v>
      </c>
    </row>
    <row r="4512" spans="1:2" x14ac:dyDescent="0.2">
      <c r="A4512">
        <v>-33235.07570308313</v>
      </c>
      <c r="B4512">
        <v>13438.001229173955</v>
      </c>
    </row>
    <row r="4513" spans="1:2" x14ac:dyDescent="0.2">
      <c r="A4513">
        <v>-6093.1543693301501</v>
      </c>
      <c r="B4513">
        <v>13438.279545844911</v>
      </c>
    </row>
    <row r="4514" spans="1:2" x14ac:dyDescent="0.2">
      <c r="A4514">
        <v>-9450.0438619440538</v>
      </c>
      <c r="B4514">
        <v>13456.737777686096</v>
      </c>
    </row>
    <row r="4515" spans="1:2" x14ac:dyDescent="0.2">
      <c r="A4515">
        <v>-389.34243549080566</v>
      </c>
      <c r="B4515">
        <v>13469.039180478227</v>
      </c>
    </row>
    <row r="4516" spans="1:2" x14ac:dyDescent="0.2">
      <c r="A4516">
        <v>-554.07897642243188</v>
      </c>
      <c r="B4516">
        <v>13483.41958243688</v>
      </c>
    </row>
    <row r="4517" spans="1:2" x14ac:dyDescent="0.2">
      <c r="A4517">
        <v>-18802.973906643892</v>
      </c>
      <c r="B4517">
        <v>13484.769853951002</v>
      </c>
    </row>
    <row r="4518" spans="1:2" x14ac:dyDescent="0.2">
      <c r="A4518">
        <v>11996.894322960521</v>
      </c>
      <c r="B4518">
        <v>13493.223356042348</v>
      </c>
    </row>
    <row r="4519" spans="1:2" x14ac:dyDescent="0.2">
      <c r="A4519">
        <v>-12224.753211539355</v>
      </c>
      <c r="B4519">
        <v>13512.654913388309</v>
      </c>
    </row>
    <row r="4520" spans="1:2" x14ac:dyDescent="0.2">
      <c r="A4520">
        <v>-8649.9046994506498</v>
      </c>
      <c r="B4520">
        <v>13519.53208652485</v>
      </c>
    </row>
    <row r="4521" spans="1:2" x14ac:dyDescent="0.2">
      <c r="A4521">
        <v>10883.097005530843</v>
      </c>
      <c r="B4521">
        <v>13526.958432224608</v>
      </c>
    </row>
    <row r="4522" spans="1:2" x14ac:dyDescent="0.2">
      <c r="A4522">
        <v>-800.75138625284308</v>
      </c>
      <c r="B4522">
        <v>13559.294265309611</v>
      </c>
    </row>
    <row r="4523" spans="1:2" x14ac:dyDescent="0.2">
      <c r="A4523">
        <v>-5731.8619107462582</v>
      </c>
      <c r="B4523">
        <v>13567.475227074407</v>
      </c>
    </row>
    <row r="4524" spans="1:2" x14ac:dyDescent="0.2">
      <c r="A4524">
        <v>7849.8686356839607</v>
      </c>
      <c r="B4524">
        <v>13591.779655648308</v>
      </c>
    </row>
    <row r="4525" spans="1:2" x14ac:dyDescent="0.2">
      <c r="A4525">
        <v>10282.728431595402</v>
      </c>
      <c r="B4525">
        <v>13606.370591937972</v>
      </c>
    </row>
    <row r="4526" spans="1:2" x14ac:dyDescent="0.2">
      <c r="A4526">
        <v>-35.563108461588854</v>
      </c>
      <c r="B4526">
        <v>13607.554014752706</v>
      </c>
    </row>
    <row r="4527" spans="1:2" x14ac:dyDescent="0.2">
      <c r="A4527">
        <v>13227.515761531307</v>
      </c>
      <c r="B4527">
        <v>13612.554787456495</v>
      </c>
    </row>
    <row r="4528" spans="1:2" x14ac:dyDescent="0.2">
      <c r="A4528">
        <v>4798.6110295412946</v>
      </c>
      <c r="B4528">
        <v>13617.878521640378</v>
      </c>
    </row>
    <row r="4529" spans="1:2" x14ac:dyDescent="0.2">
      <c r="A4529">
        <v>6840.695208862162</v>
      </c>
      <c r="B4529">
        <v>13635.590078216395</v>
      </c>
    </row>
    <row r="4530" spans="1:2" x14ac:dyDescent="0.2">
      <c r="A4530">
        <v>-3107.527501611039</v>
      </c>
      <c r="B4530">
        <v>13641.422219725064</v>
      </c>
    </row>
    <row r="4531" spans="1:2" x14ac:dyDescent="0.2">
      <c r="A4531">
        <v>-4177.4321812366834</v>
      </c>
      <c r="B4531">
        <v>13651.334532429581</v>
      </c>
    </row>
    <row r="4532" spans="1:2" x14ac:dyDescent="0.2">
      <c r="A4532">
        <v>-9636.2486662800075</v>
      </c>
      <c r="B4532">
        <v>13661.005738630221</v>
      </c>
    </row>
    <row r="4533" spans="1:2" x14ac:dyDescent="0.2">
      <c r="A4533">
        <v>-44750.449004636088</v>
      </c>
      <c r="B4533">
        <v>13683.00346239662</v>
      </c>
    </row>
    <row r="4534" spans="1:2" x14ac:dyDescent="0.2">
      <c r="A4534">
        <v>-319.19734752309159</v>
      </c>
      <c r="B4534">
        <v>13683.178299388528</v>
      </c>
    </row>
    <row r="4535" spans="1:2" x14ac:dyDescent="0.2">
      <c r="A4535">
        <v>3598.8479239557346</v>
      </c>
      <c r="B4535">
        <v>13715.647675529792</v>
      </c>
    </row>
    <row r="4536" spans="1:2" x14ac:dyDescent="0.2">
      <c r="A4536">
        <v>1787.3611483860004</v>
      </c>
      <c r="B4536">
        <v>13716.944498064113</v>
      </c>
    </row>
    <row r="4537" spans="1:2" x14ac:dyDescent="0.2">
      <c r="A4537">
        <v>5478.6742285251385</v>
      </c>
      <c r="B4537">
        <v>13729.910233971023</v>
      </c>
    </row>
    <row r="4538" spans="1:2" x14ac:dyDescent="0.2">
      <c r="A4538">
        <v>6184.197426965402</v>
      </c>
      <c r="B4538">
        <v>13736.625507550139</v>
      </c>
    </row>
    <row r="4539" spans="1:2" x14ac:dyDescent="0.2">
      <c r="A4539">
        <v>-2939.662489530805</v>
      </c>
      <c r="B4539">
        <v>13737.757508977258</v>
      </c>
    </row>
    <row r="4540" spans="1:2" x14ac:dyDescent="0.2">
      <c r="A4540">
        <v>-3199.4534848069598</v>
      </c>
      <c r="B4540">
        <v>13759.053713619796</v>
      </c>
    </row>
    <row r="4541" spans="1:2" x14ac:dyDescent="0.2">
      <c r="A4541">
        <v>3119.1620964558388</v>
      </c>
      <c r="B4541">
        <v>13762.416492375458</v>
      </c>
    </row>
    <row r="4542" spans="1:2" x14ac:dyDescent="0.2">
      <c r="A4542">
        <v>-322.6139462221181</v>
      </c>
      <c r="B4542">
        <v>13794.204045572435</v>
      </c>
    </row>
    <row r="4543" spans="1:2" x14ac:dyDescent="0.2">
      <c r="A4543">
        <v>3644.8556111620273</v>
      </c>
      <c r="B4543">
        <v>13800.787311823471</v>
      </c>
    </row>
    <row r="4544" spans="1:2" x14ac:dyDescent="0.2">
      <c r="A4544">
        <v>29311.997308429185</v>
      </c>
      <c r="B4544">
        <v>13817.191467910772</v>
      </c>
    </row>
    <row r="4545" spans="1:2" x14ac:dyDescent="0.2">
      <c r="A4545">
        <v>1740.7868748589826</v>
      </c>
      <c r="B4545">
        <v>13821.645204965491</v>
      </c>
    </row>
    <row r="4546" spans="1:2" x14ac:dyDescent="0.2">
      <c r="A4546">
        <v>12046.385124021908</v>
      </c>
      <c r="B4546">
        <v>13823.036265566712</v>
      </c>
    </row>
    <row r="4547" spans="1:2" x14ac:dyDescent="0.2">
      <c r="A4547">
        <v>-5554.0434864796116</v>
      </c>
      <c r="B4547">
        <v>13825.126958708235</v>
      </c>
    </row>
    <row r="4548" spans="1:2" x14ac:dyDescent="0.2">
      <c r="A4548">
        <v>3649.6628706200863</v>
      </c>
      <c r="B4548">
        <v>13827.165902755398</v>
      </c>
    </row>
    <row r="4549" spans="1:2" x14ac:dyDescent="0.2">
      <c r="A4549">
        <v>4571.0329830509145</v>
      </c>
      <c r="B4549">
        <v>13828.676763153548</v>
      </c>
    </row>
    <row r="4550" spans="1:2" x14ac:dyDescent="0.2">
      <c r="A4550">
        <v>10223.236027762498</v>
      </c>
      <c r="B4550">
        <v>13835.591849219942</v>
      </c>
    </row>
    <row r="4551" spans="1:2" x14ac:dyDescent="0.2">
      <c r="A4551">
        <v>4715.1626586745842</v>
      </c>
      <c r="B4551">
        <v>13843.239929742296</v>
      </c>
    </row>
    <row r="4552" spans="1:2" x14ac:dyDescent="0.2">
      <c r="A4552">
        <v>-4595.1355552495806</v>
      </c>
      <c r="B4552">
        <v>13876.221251395298</v>
      </c>
    </row>
    <row r="4553" spans="1:2" x14ac:dyDescent="0.2">
      <c r="A4553">
        <v>14777.947409526329</v>
      </c>
      <c r="B4553">
        <v>13891.953939720639</v>
      </c>
    </row>
    <row r="4554" spans="1:2" x14ac:dyDescent="0.2">
      <c r="A4554">
        <v>10498.565881616145</v>
      </c>
      <c r="B4554">
        <v>13904.490458166401</v>
      </c>
    </row>
    <row r="4555" spans="1:2" x14ac:dyDescent="0.2">
      <c r="A4555">
        <v>-7218.1009607214364</v>
      </c>
      <c r="B4555">
        <v>13907.647149063356</v>
      </c>
    </row>
    <row r="4556" spans="1:2" x14ac:dyDescent="0.2">
      <c r="A4556">
        <v>8836.4161131667788</v>
      </c>
      <c r="B4556">
        <v>13926.915776409325</v>
      </c>
    </row>
    <row r="4557" spans="1:2" x14ac:dyDescent="0.2">
      <c r="A4557">
        <v>7496.527216775954</v>
      </c>
      <c r="B4557">
        <v>13940.530784382892</v>
      </c>
    </row>
    <row r="4558" spans="1:2" x14ac:dyDescent="0.2">
      <c r="A4558">
        <v>7795.2784966424515</v>
      </c>
      <c r="B4558">
        <v>13946.568285078334</v>
      </c>
    </row>
    <row r="4559" spans="1:2" x14ac:dyDescent="0.2">
      <c r="A4559">
        <v>5252.5743969824398</v>
      </c>
      <c r="B4559">
        <v>13959.122874756984</v>
      </c>
    </row>
    <row r="4560" spans="1:2" x14ac:dyDescent="0.2">
      <c r="A4560">
        <v>12524.502160855714</v>
      </c>
      <c r="B4560">
        <v>13964.652709641901</v>
      </c>
    </row>
    <row r="4561" spans="1:2" x14ac:dyDescent="0.2">
      <c r="A4561">
        <v>49630.443765941251</v>
      </c>
      <c r="B4561">
        <v>13970.968975041906</v>
      </c>
    </row>
    <row r="4562" spans="1:2" x14ac:dyDescent="0.2">
      <c r="A4562">
        <v>1421.9154412487405</v>
      </c>
      <c r="B4562">
        <v>13975.175980822503</v>
      </c>
    </row>
    <row r="4563" spans="1:2" x14ac:dyDescent="0.2">
      <c r="A4563">
        <v>-8935.4790880854125</v>
      </c>
      <c r="B4563">
        <v>13979.980146374204</v>
      </c>
    </row>
    <row r="4564" spans="1:2" x14ac:dyDescent="0.2">
      <c r="A4564">
        <v>-8239.2659586533264</v>
      </c>
      <c r="B4564">
        <v>13984.220728333254</v>
      </c>
    </row>
    <row r="4565" spans="1:2" x14ac:dyDescent="0.2">
      <c r="A4565">
        <v>4496.7067017605295</v>
      </c>
      <c r="B4565">
        <v>13996.749144677975</v>
      </c>
    </row>
    <row r="4566" spans="1:2" x14ac:dyDescent="0.2">
      <c r="A4566">
        <v>5243.9270970930229</v>
      </c>
      <c r="B4566">
        <v>14010.461680904555</v>
      </c>
    </row>
    <row r="4567" spans="1:2" x14ac:dyDescent="0.2">
      <c r="A4567">
        <v>5478.0433860764024</v>
      </c>
      <c r="B4567">
        <v>14011.541008901258</v>
      </c>
    </row>
    <row r="4568" spans="1:2" x14ac:dyDescent="0.2">
      <c r="A4568">
        <v>6551.8777324483817</v>
      </c>
      <c r="B4568">
        <v>14017.272058442439</v>
      </c>
    </row>
    <row r="4569" spans="1:2" x14ac:dyDescent="0.2">
      <c r="A4569">
        <v>1514.8509754051338</v>
      </c>
      <c r="B4569">
        <v>14030.955099523591</v>
      </c>
    </row>
    <row r="4570" spans="1:2" x14ac:dyDescent="0.2">
      <c r="A4570">
        <v>-9709.4586327034922</v>
      </c>
      <c r="B4570">
        <v>14053.453636921942</v>
      </c>
    </row>
    <row r="4571" spans="1:2" x14ac:dyDescent="0.2">
      <c r="A4571">
        <v>6109.9101216084382</v>
      </c>
      <c r="B4571">
        <v>14064.779989536648</v>
      </c>
    </row>
    <row r="4572" spans="1:2" x14ac:dyDescent="0.2">
      <c r="A4572">
        <v>11227.399303925224</v>
      </c>
      <c r="B4572">
        <v>14071.733143437421</v>
      </c>
    </row>
    <row r="4573" spans="1:2" x14ac:dyDescent="0.2">
      <c r="A4573">
        <v>18630.591671716393</v>
      </c>
      <c r="B4573">
        <v>14083.113637830538</v>
      </c>
    </row>
    <row r="4574" spans="1:2" x14ac:dyDescent="0.2">
      <c r="A4574">
        <v>-3027.6923417641665</v>
      </c>
      <c r="B4574">
        <v>14083.466637299338</v>
      </c>
    </row>
    <row r="4575" spans="1:2" x14ac:dyDescent="0.2">
      <c r="A4575">
        <v>5906.1103185261018</v>
      </c>
      <c r="B4575">
        <v>14097.896970032365</v>
      </c>
    </row>
    <row r="4576" spans="1:2" x14ac:dyDescent="0.2">
      <c r="A4576">
        <v>10359.52957849449</v>
      </c>
      <c r="B4576">
        <v>14102.679761208157</v>
      </c>
    </row>
    <row r="4577" spans="1:2" x14ac:dyDescent="0.2">
      <c r="A4577">
        <v>10165.852525864</v>
      </c>
      <c r="B4577">
        <v>14120.205879275367</v>
      </c>
    </row>
    <row r="4578" spans="1:2" x14ac:dyDescent="0.2">
      <c r="A4578">
        <v>-9180.6847401924606</v>
      </c>
      <c r="B4578">
        <v>14125.889981134766</v>
      </c>
    </row>
    <row r="4579" spans="1:2" x14ac:dyDescent="0.2">
      <c r="A4579">
        <v>-9048.8346888120577</v>
      </c>
      <c r="B4579">
        <v>14163.338655654923</v>
      </c>
    </row>
    <row r="4580" spans="1:2" x14ac:dyDescent="0.2">
      <c r="A4580">
        <v>1921.9411273840233</v>
      </c>
      <c r="B4580">
        <v>14173.849578372494</v>
      </c>
    </row>
    <row r="4581" spans="1:2" x14ac:dyDescent="0.2">
      <c r="A4581">
        <v>9099.8189503330505</v>
      </c>
      <c r="B4581">
        <v>14176.140012097603</v>
      </c>
    </row>
    <row r="4582" spans="1:2" x14ac:dyDescent="0.2">
      <c r="A4582">
        <v>-12512.724216801987</v>
      </c>
      <c r="B4582">
        <v>14177.678971426649</v>
      </c>
    </row>
    <row r="4583" spans="1:2" x14ac:dyDescent="0.2">
      <c r="A4583">
        <v>867.09328089599148</v>
      </c>
      <c r="B4583">
        <v>14178.681667873811</v>
      </c>
    </row>
    <row r="4584" spans="1:2" x14ac:dyDescent="0.2">
      <c r="A4584">
        <v>10855.129941894615</v>
      </c>
      <c r="B4584">
        <v>14241.689458262845</v>
      </c>
    </row>
    <row r="4585" spans="1:2" x14ac:dyDescent="0.2">
      <c r="A4585">
        <v>-7461.5461098494707</v>
      </c>
      <c r="B4585">
        <v>14264.590975847037</v>
      </c>
    </row>
    <row r="4586" spans="1:2" x14ac:dyDescent="0.2">
      <c r="A4586">
        <v>15039.238983536954</v>
      </c>
      <c r="B4586">
        <v>14343.226038839843</v>
      </c>
    </row>
    <row r="4587" spans="1:2" x14ac:dyDescent="0.2">
      <c r="A4587">
        <v>-161.93230335455155</v>
      </c>
      <c r="B4587">
        <v>14346.178508273093</v>
      </c>
    </row>
    <row r="4588" spans="1:2" x14ac:dyDescent="0.2">
      <c r="A4588">
        <v>-11253.454737496679</v>
      </c>
      <c r="B4588">
        <v>14362.777630335215</v>
      </c>
    </row>
    <row r="4589" spans="1:2" x14ac:dyDescent="0.2">
      <c r="A4589">
        <v>-22.607055354688782</v>
      </c>
      <c r="B4589">
        <v>14369.513398209849</v>
      </c>
    </row>
    <row r="4590" spans="1:2" x14ac:dyDescent="0.2">
      <c r="A4590">
        <v>-9001.3407111676934</v>
      </c>
      <c r="B4590">
        <v>14380.680279712426</v>
      </c>
    </row>
    <row r="4591" spans="1:2" x14ac:dyDescent="0.2">
      <c r="A4591">
        <v>-4817.4695218239794</v>
      </c>
      <c r="B4591">
        <v>14384.88436206273</v>
      </c>
    </row>
    <row r="4592" spans="1:2" x14ac:dyDescent="0.2">
      <c r="A4592">
        <v>12410.75648604962</v>
      </c>
      <c r="B4592">
        <v>14393.468877784791</v>
      </c>
    </row>
    <row r="4593" spans="1:2" x14ac:dyDescent="0.2">
      <c r="A4593">
        <v>-2604.3677687587333</v>
      </c>
      <c r="B4593">
        <v>14396.313402245287</v>
      </c>
    </row>
    <row r="4594" spans="1:2" x14ac:dyDescent="0.2">
      <c r="A4594">
        <v>9366.1218662639149</v>
      </c>
      <c r="B4594">
        <v>14415.86010654323</v>
      </c>
    </row>
    <row r="4595" spans="1:2" x14ac:dyDescent="0.2">
      <c r="A4595">
        <v>-15620.843944990833</v>
      </c>
      <c r="B4595">
        <v>14415.953064706526</v>
      </c>
    </row>
    <row r="4596" spans="1:2" x14ac:dyDescent="0.2">
      <c r="A4596">
        <v>-3366.3462003541936</v>
      </c>
      <c r="B4596">
        <v>14420.992245868314</v>
      </c>
    </row>
    <row r="4597" spans="1:2" x14ac:dyDescent="0.2">
      <c r="A4597">
        <v>7999.4443592408497</v>
      </c>
      <c r="B4597">
        <v>14424.301341133076</v>
      </c>
    </row>
    <row r="4598" spans="1:2" x14ac:dyDescent="0.2">
      <c r="A4598">
        <v>13255.264828881074</v>
      </c>
      <c r="B4598">
        <v>14424.915154726739</v>
      </c>
    </row>
    <row r="4599" spans="1:2" x14ac:dyDescent="0.2">
      <c r="A4599">
        <v>-10625.86282575631</v>
      </c>
      <c r="B4599">
        <v>14430.279670931835</v>
      </c>
    </row>
    <row r="4600" spans="1:2" x14ac:dyDescent="0.2">
      <c r="A4600">
        <v>-1134.7180244097253</v>
      </c>
      <c r="B4600">
        <v>14439.709737186262</v>
      </c>
    </row>
    <row r="4601" spans="1:2" x14ac:dyDescent="0.2">
      <c r="A4601">
        <v>-19609.689565044071</v>
      </c>
      <c r="B4601">
        <v>14456.839275961742</v>
      </c>
    </row>
    <row r="4602" spans="1:2" x14ac:dyDescent="0.2">
      <c r="A4602">
        <v>16845.089154652669</v>
      </c>
      <c r="B4602">
        <v>14502.40535857949</v>
      </c>
    </row>
    <row r="4603" spans="1:2" x14ac:dyDescent="0.2">
      <c r="A4603">
        <v>13220.057531246566</v>
      </c>
      <c r="B4603">
        <v>14514.998884504894</v>
      </c>
    </row>
    <row r="4604" spans="1:2" x14ac:dyDescent="0.2">
      <c r="A4604">
        <v>-12958.064443513984</v>
      </c>
      <c r="B4604">
        <v>14530.66303927853</v>
      </c>
    </row>
    <row r="4605" spans="1:2" x14ac:dyDescent="0.2">
      <c r="A4605">
        <v>-9469.3726733542862</v>
      </c>
      <c r="B4605">
        <v>14538.699164508638</v>
      </c>
    </row>
    <row r="4606" spans="1:2" x14ac:dyDescent="0.2">
      <c r="A4606">
        <v>-9623.8097273615422</v>
      </c>
      <c r="B4606">
        <v>14539.263114870409</v>
      </c>
    </row>
    <row r="4607" spans="1:2" x14ac:dyDescent="0.2">
      <c r="A4607">
        <v>-1423.8565737729077</v>
      </c>
      <c r="B4607">
        <v>14554.732782525418</v>
      </c>
    </row>
    <row r="4608" spans="1:2" x14ac:dyDescent="0.2">
      <c r="A4608">
        <v>20053.905000953237</v>
      </c>
      <c r="B4608">
        <v>14555.139871020787</v>
      </c>
    </row>
    <row r="4609" spans="1:2" x14ac:dyDescent="0.2">
      <c r="A4609">
        <v>-17251.754762751894</v>
      </c>
      <c r="B4609">
        <v>14556.557237844769</v>
      </c>
    </row>
    <row r="4610" spans="1:2" x14ac:dyDescent="0.2">
      <c r="A4610">
        <v>-1289.3868437080819</v>
      </c>
      <c r="B4610">
        <v>14633.83138685525</v>
      </c>
    </row>
    <row r="4611" spans="1:2" x14ac:dyDescent="0.2">
      <c r="A4611">
        <v>9185.3617370681604</v>
      </c>
      <c r="B4611">
        <v>14674.378089379126</v>
      </c>
    </row>
    <row r="4612" spans="1:2" x14ac:dyDescent="0.2">
      <c r="A4612">
        <v>8777.87302068586</v>
      </c>
      <c r="B4612">
        <v>14674.617975395231</v>
      </c>
    </row>
    <row r="4613" spans="1:2" x14ac:dyDescent="0.2">
      <c r="A4613">
        <v>-4332.2571438336454</v>
      </c>
      <c r="B4613">
        <v>14685.116660057596</v>
      </c>
    </row>
    <row r="4614" spans="1:2" x14ac:dyDescent="0.2">
      <c r="A4614">
        <v>-7968.8230763878091</v>
      </c>
      <c r="B4614">
        <v>14702.1076827863</v>
      </c>
    </row>
    <row r="4615" spans="1:2" x14ac:dyDescent="0.2">
      <c r="A4615">
        <v>7266.9333483580267</v>
      </c>
      <c r="B4615">
        <v>14728.556585447193</v>
      </c>
    </row>
    <row r="4616" spans="1:2" x14ac:dyDescent="0.2">
      <c r="A4616">
        <v>6523.4490363067889</v>
      </c>
      <c r="B4616">
        <v>14728.577333986032</v>
      </c>
    </row>
    <row r="4617" spans="1:2" x14ac:dyDescent="0.2">
      <c r="A4617">
        <v>5214.7313272221363</v>
      </c>
      <c r="B4617">
        <v>14731.254284582392</v>
      </c>
    </row>
    <row r="4618" spans="1:2" x14ac:dyDescent="0.2">
      <c r="A4618">
        <v>9083.698120558809</v>
      </c>
      <c r="B4618">
        <v>14735.318923108629</v>
      </c>
    </row>
    <row r="4619" spans="1:2" x14ac:dyDescent="0.2">
      <c r="A4619">
        <v>3543.7807041517808</v>
      </c>
      <c r="B4619">
        <v>14756.089887124544</v>
      </c>
    </row>
    <row r="4620" spans="1:2" x14ac:dyDescent="0.2">
      <c r="A4620">
        <v>-4374.9439181193884</v>
      </c>
      <c r="B4620">
        <v>14767.451031731995</v>
      </c>
    </row>
    <row r="4621" spans="1:2" x14ac:dyDescent="0.2">
      <c r="A4621">
        <v>-473.37727524881484</v>
      </c>
      <c r="B4621">
        <v>14777.947409526329</v>
      </c>
    </row>
    <row r="4622" spans="1:2" x14ac:dyDescent="0.2">
      <c r="A4622">
        <v>2991.0836716184858</v>
      </c>
      <c r="B4622">
        <v>14779.537537860102</v>
      </c>
    </row>
    <row r="4623" spans="1:2" x14ac:dyDescent="0.2">
      <c r="A4623">
        <v>17026.223634254537</v>
      </c>
      <c r="B4623">
        <v>14784.526821961452</v>
      </c>
    </row>
    <row r="4624" spans="1:2" x14ac:dyDescent="0.2">
      <c r="A4624">
        <v>15704.318138861534</v>
      </c>
      <c r="B4624">
        <v>14790.240573882387</v>
      </c>
    </row>
    <row r="4625" spans="1:2" x14ac:dyDescent="0.2">
      <c r="A4625">
        <v>1671.2311423017818</v>
      </c>
      <c r="B4625">
        <v>14823.15893189708</v>
      </c>
    </row>
    <row r="4626" spans="1:2" x14ac:dyDescent="0.2">
      <c r="A4626">
        <v>3553.5792340982589</v>
      </c>
      <c r="B4626">
        <v>14865.644902849774</v>
      </c>
    </row>
    <row r="4627" spans="1:2" x14ac:dyDescent="0.2">
      <c r="A4627">
        <v>2329.7606497015222</v>
      </c>
      <c r="B4627">
        <v>14956.901969596744</v>
      </c>
    </row>
    <row r="4628" spans="1:2" x14ac:dyDescent="0.2">
      <c r="A4628">
        <v>-3028.6310753114522</v>
      </c>
      <c r="B4628">
        <v>14989.462030308743</v>
      </c>
    </row>
    <row r="4629" spans="1:2" x14ac:dyDescent="0.2">
      <c r="A4629">
        <v>8384.9207137961057</v>
      </c>
      <c r="B4629">
        <v>15013.579071138927</v>
      </c>
    </row>
    <row r="4630" spans="1:2" x14ac:dyDescent="0.2">
      <c r="A4630">
        <v>3637.0932032206329</v>
      </c>
      <c r="B4630">
        <v>15039.238983536954</v>
      </c>
    </row>
    <row r="4631" spans="1:2" x14ac:dyDescent="0.2">
      <c r="A4631">
        <v>5518.0571376580629</v>
      </c>
      <c r="B4631">
        <v>15052.329219030566</v>
      </c>
    </row>
    <row r="4632" spans="1:2" x14ac:dyDescent="0.2">
      <c r="A4632">
        <v>7109.2632652951434</v>
      </c>
      <c r="B4632">
        <v>15069.023795404006</v>
      </c>
    </row>
    <row r="4633" spans="1:2" x14ac:dyDescent="0.2">
      <c r="A4633">
        <v>9954.8376471881056</v>
      </c>
      <c r="B4633">
        <v>15086.698255876312</v>
      </c>
    </row>
    <row r="4634" spans="1:2" x14ac:dyDescent="0.2">
      <c r="A4634">
        <v>-7898.1058791429969</v>
      </c>
      <c r="B4634">
        <v>15093.770380739239</v>
      </c>
    </row>
    <row r="4635" spans="1:2" x14ac:dyDescent="0.2">
      <c r="A4635">
        <v>5582.3413524819771</v>
      </c>
      <c r="B4635">
        <v>15097.437597342563</v>
      </c>
    </row>
    <row r="4636" spans="1:2" x14ac:dyDescent="0.2">
      <c r="A4636">
        <v>-8601.1097172359587</v>
      </c>
      <c r="B4636">
        <v>15100.831629416527</v>
      </c>
    </row>
    <row r="4637" spans="1:2" x14ac:dyDescent="0.2">
      <c r="A4637">
        <v>2956.0919874503161</v>
      </c>
      <c r="B4637">
        <v>15113.82088648458</v>
      </c>
    </row>
    <row r="4638" spans="1:2" x14ac:dyDescent="0.2">
      <c r="A4638">
        <v>-8578.8371128225117</v>
      </c>
      <c r="B4638">
        <v>15117.574875365244</v>
      </c>
    </row>
    <row r="4639" spans="1:2" x14ac:dyDescent="0.2">
      <c r="A4639">
        <v>-4146.9866488159751</v>
      </c>
      <c r="B4639">
        <v>15124.275419923069</v>
      </c>
    </row>
    <row r="4640" spans="1:2" x14ac:dyDescent="0.2">
      <c r="A4640">
        <v>555.0212844296766</v>
      </c>
      <c r="B4640">
        <v>15129.306945176242</v>
      </c>
    </row>
    <row r="4641" spans="1:2" x14ac:dyDescent="0.2">
      <c r="A4641">
        <v>-4743.136028445675</v>
      </c>
      <c r="B4641">
        <v>15168.565101991058</v>
      </c>
    </row>
    <row r="4642" spans="1:2" x14ac:dyDescent="0.2">
      <c r="A4642">
        <v>8046.1273860974179</v>
      </c>
      <c r="B4642">
        <v>15177.467278187076</v>
      </c>
    </row>
    <row r="4643" spans="1:2" x14ac:dyDescent="0.2">
      <c r="A4643">
        <v>19191.123220590467</v>
      </c>
      <c r="B4643">
        <v>15186.524612222216</v>
      </c>
    </row>
    <row r="4644" spans="1:2" x14ac:dyDescent="0.2">
      <c r="A4644">
        <v>3829.7659968078369</v>
      </c>
      <c r="B4644">
        <v>15197.687742357361</v>
      </c>
    </row>
    <row r="4645" spans="1:2" x14ac:dyDescent="0.2">
      <c r="A4645">
        <v>842.66371818029438</v>
      </c>
      <c r="B4645">
        <v>15225.558772584132</v>
      </c>
    </row>
    <row r="4646" spans="1:2" x14ac:dyDescent="0.2">
      <c r="A4646">
        <v>-1076.4684424420702</v>
      </c>
      <c r="B4646">
        <v>15267.498284152651</v>
      </c>
    </row>
    <row r="4647" spans="1:2" x14ac:dyDescent="0.2">
      <c r="A4647">
        <v>-10908.91423709935</v>
      </c>
      <c r="B4647">
        <v>15326.547164706048</v>
      </c>
    </row>
    <row r="4648" spans="1:2" x14ac:dyDescent="0.2">
      <c r="A4648">
        <v>-453.83870334134554</v>
      </c>
      <c r="B4648">
        <v>15369.069110463024</v>
      </c>
    </row>
    <row r="4649" spans="1:2" x14ac:dyDescent="0.2">
      <c r="A4649">
        <v>-4141.7329761342844</v>
      </c>
      <c r="B4649">
        <v>15424.035278458003</v>
      </c>
    </row>
    <row r="4650" spans="1:2" x14ac:dyDescent="0.2">
      <c r="A4650">
        <v>7980.6208755588741</v>
      </c>
      <c r="B4650">
        <v>15430.272843138955</v>
      </c>
    </row>
    <row r="4651" spans="1:2" x14ac:dyDescent="0.2">
      <c r="A4651">
        <v>13092.60257956048</v>
      </c>
      <c r="B4651">
        <v>15430.760044801544</v>
      </c>
    </row>
    <row r="4652" spans="1:2" x14ac:dyDescent="0.2">
      <c r="A4652">
        <v>-15334.300631702237</v>
      </c>
      <c r="B4652">
        <v>15464.437782631139</v>
      </c>
    </row>
    <row r="4653" spans="1:2" x14ac:dyDescent="0.2">
      <c r="A4653">
        <v>17165.492943344812</v>
      </c>
      <c r="B4653">
        <v>15473.39285124981</v>
      </c>
    </row>
    <row r="4654" spans="1:2" x14ac:dyDescent="0.2">
      <c r="A4654">
        <v>7112.1683535696939</v>
      </c>
      <c r="B4654">
        <v>15497.25096137487</v>
      </c>
    </row>
    <row r="4655" spans="1:2" x14ac:dyDescent="0.2">
      <c r="A4655">
        <v>8524.6821527495049</v>
      </c>
      <c r="B4655">
        <v>15505.141233118658</v>
      </c>
    </row>
    <row r="4656" spans="1:2" x14ac:dyDescent="0.2">
      <c r="A4656">
        <v>-939.965415743005</v>
      </c>
      <c r="B4656">
        <v>15514.675920276321</v>
      </c>
    </row>
    <row r="4657" spans="1:2" x14ac:dyDescent="0.2">
      <c r="A4657">
        <v>5604.3587808453885</v>
      </c>
      <c r="B4657">
        <v>15515.375229480676</v>
      </c>
    </row>
    <row r="4658" spans="1:2" x14ac:dyDescent="0.2">
      <c r="A4658">
        <v>2205.2547328033834</v>
      </c>
      <c r="B4658">
        <v>15515.534358095785</v>
      </c>
    </row>
    <row r="4659" spans="1:2" x14ac:dyDescent="0.2">
      <c r="A4659">
        <v>3893.9814086252009</v>
      </c>
      <c r="B4659">
        <v>15517.792013104627</v>
      </c>
    </row>
    <row r="4660" spans="1:2" x14ac:dyDescent="0.2">
      <c r="A4660">
        <v>11888.194621897361</v>
      </c>
      <c r="B4660">
        <v>15519.330674856377</v>
      </c>
    </row>
    <row r="4661" spans="1:2" x14ac:dyDescent="0.2">
      <c r="A4661">
        <v>12842.613649930572</v>
      </c>
      <c r="B4661">
        <v>15522.79665932362</v>
      </c>
    </row>
    <row r="4662" spans="1:2" x14ac:dyDescent="0.2">
      <c r="A4662">
        <v>-376.26290550606791</v>
      </c>
      <c r="B4662">
        <v>15572.815285422432</v>
      </c>
    </row>
    <row r="4663" spans="1:2" x14ac:dyDescent="0.2">
      <c r="A4663">
        <v>-3677.9436867161712</v>
      </c>
      <c r="B4663">
        <v>15600.447016534774</v>
      </c>
    </row>
    <row r="4664" spans="1:2" x14ac:dyDescent="0.2">
      <c r="A4664">
        <v>-4684.476680920925</v>
      </c>
      <c r="B4664">
        <v>15642.263703163364</v>
      </c>
    </row>
    <row r="4665" spans="1:2" x14ac:dyDescent="0.2">
      <c r="A4665">
        <v>8308.1413406825159</v>
      </c>
      <c r="B4665">
        <v>15674.016296901536</v>
      </c>
    </row>
    <row r="4666" spans="1:2" x14ac:dyDescent="0.2">
      <c r="A4666">
        <v>2590.8090207529021</v>
      </c>
      <c r="B4666">
        <v>15699.872657878412</v>
      </c>
    </row>
    <row r="4667" spans="1:2" x14ac:dyDescent="0.2">
      <c r="A4667">
        <v>7591.8914219005383</v>
      </c>
      <c r="B4667">
        <v>15704.318138861534</v>
      </c>
    </row>
    <row r="4668" spans="1:2" x14ac:dyDescent="0.2">
      <c r="A4668">
        <v>488.94030219357228</v>
      </c>
      <c r="B4668">
        <v>15720.266668330703</v>
      </c>
    </row>
    <row r="4669" spans="1:2" x14ac:dyDescent="0.2">
      <c r="A4669">
        <v>-13436.679416671395</v>
      </c>
      <c r="B4669">
        <v>15729.254677160876</v>
      </c>
    </row>
    <row r="4670" spans="1:2" x14ac:dyDescent="0.2">
      <c r="A4670">
        <v>-4660.0376001967234</v>
      </c>
      <c r="B4670">
        <v>15747.741154888441</v>
      </c>
    </row>
    <row r="4671" spans="1:2" x14ac:dyDescent="0.2">
      <c r="A4671">
        <v>22217.671697154467</v>
      </c>
      <c r="B4671">
        <v>15748.96463830967</v>
      </c>
    </row>
    <row r="4672" spans="1:2" x14ac:dyDescent="0.2">
      <c r="A4672">
        <v>12551.148312896461</v>
      </c>
      <c r="B4672">
        <v>15763.551710504165</v>
      </c>
    </row>
    <row r="4673" spans="1:2" x14ac:dyDescent="0.2">
      <c r="A4673">
        <v>-3699.9552080950234</v>
      </c>
      <c r="B4673">
        <v>15776.117722233786</v>
      </c>
    </row>
    <row r="4674" spans="1:2" x14ac:dyDescent="0.2">
      <c r="A4674">
        <v>-1384.6457089964242</v>
      </c>
      <c r="B4674">
        <v>15776.451648854039</v>
      </c>
    </row>
    <row r="4675" spans="1:2" x14ac:dyDescent="0.2">
      <c r="A4675">
        <v>8764.0919133934949</v>
      </c>
      <c r="B4675">
        <v>15781.550892879895</v>
      </c>
    </row>
    <row r="4676" spans="1:2" x14ac:dyDescent="0.2">
      <c r="A4676">
        <v>5254.5354873597971</v>
      </c>
      <c r="B4676">
        <v>15796.917313540733</v>
      </c>
    </row>
    <row r="4677" spans="1:2" x14ac:dyDescent="0.2">
      <c r="A4677">
        <v>-844.08225317415781</v>
      </c>
      <c r="B4677">
        <v>15814.246200698661</v>
      </c>
    </row>
    <row r="4678" spans="1:2" x14ac:dyDescent="0.2">
      <c r="A4678">
        <v>2818.1871887728048</v>
      </c>
      <c r="B4678">
        <v>15824.288862284797</v>
      </c>
    </row>
    <row r="4679" spans="1:2" x14ac:dyDescent="0.2">
      <c r="A4679">
        <v>3755.600670046726</v>
      </c>
      <c r="B4679">
        <v>15833.245199484169</v>
      </c>
    </row>
    <row r="4680" spans="1:2" x14ac:dyDescent="0.2">
      <c r="A4680">
        <v>-9550.8460467570112</v>
      </c>
      <c r="B4680">
        <v>15846.961280679679</v>
      </c>
    </row>
    <row r="4681" spans="1:2" x14ac:dyDescent="0.2">
      <c r="A4681">
        <v>-9415.9274020688026</v>
      </c>
      <c r="B4681">
        <v>15856.258992853225</v>
      </c>
    </row>
    <row r="4682" spans="1:2" x14ac:dyDescent="0.2">
      <c r="A4682">
        <v>-9604.1658633385086</v>
      </c>
      <c r="B4682">
        <v>15861.057384890271</v>
      </c>
    </row>
    <row r="4683" spans="1:2" x14ac:dyDescent="0.2">
      <c r="A4683">
        <v>5783.0043769408367</v>
      </c>
      <c r="B4683">
        <v>15872.343541934912</v>
      </c>
    </row>
    <row r="4684" spans="1:2" x14ac:dyDescent="0.2">
      <c r="A4684">
        <v>3603.6950454677572</v>
      </c>
      <c r="B4684">
        <v>15886.386908003537</v>
      </c>
    </row>
    <row r="4685" spans="1:2" x14ac:dyDescent="0.2">
      <c r="A4685">
        <v>-1232.1469151664642</v>
      </c>
      <c r="B4685">
        <v>15893.613527942187</v>
      </c>
    </row>
    <row r="4686" spans="1:2" x14ac:dyDescent="0.2">
      <c r="A4686">
        <v>5383.1595805843244</v>
      </c>
      <c r="B4686">
        <v>15910.855699618754</v>
      </c>
    </row>
    <row r="4687" spans="1:2" x14ac:dyDescent="0.2">
      <c r="A4687">
        <v>-3978.7708661113866</v>
      </c>
      <c r="B4687">
        <v>15928.504325676942</v>
      </c>
    </row>
    <row r="4688" spans="1:2" x14ac:dyDescent="0.2">
      <c r="A4688">
        <v>-11978.057851775113</v>
      </c>
      <c r="B4688">
        <v>15929.389996836195</v>
      </c>
    </row>
    <row r="4689" spans="1:2" x14ac:dyDescent="0.2">
      <c r="A4689">
        <v>20215.117640211654</v>
      </c>
      <c r="B4689">
        <v>15941.965704274277</v>
      </c>
    </row>
    <row r="4690" spans="1:2" x14ac:dyDescent="0.2">
      <c r="A4690">
        <v>-1501.0486237976584</v>
      </c>
      <c r="B4690">
        <v>15943.365362892451</v>
      </c>
    </row>
    <row r="4691" spans="1:2" x14ac:dyDescent="0.2">
      <c r="A4691">
        <v>16029.906577420072</v>
      </c>
      <c r="B4691">
        <v>15951.71652734396</v>
      </c>
    </row>
    <row r="4692" spans="1:2" x14ac:dyDescent="0.2">
      <c r="A4692">
        <v>-6816.796191497473</v>
      </c>
      <c r="B4692">
        <v>15967.736227237794</v>
      </c>
    </row>
    <row r="4693" spans="1:2" x14ac:dyDescent="0.2">
      <c r="A4693">
        <v>954.14569668559125</v>
      </c>
      <c r="B4693">
        <v>15997.949392992421</v>
      </c>
    </row>
    <row r="4694" spans="1:2" x14ac:dyDescent="0.2">
      <c r="A4694">
        <v>3282.547425320372</v>
      </c>
      <c r="B4694">
        <v>16029.906577420072</v>
      </c>
    </row>
    <row r="4695" spans="1:2" x14ac:dyDescent="0.2">
      <c r="A4695">
        <v>-11512.944347061042</v>
      </c>
      <c r="B4695">
        <v>16040.168229681512</v>
      </c>
    </row>
    <row r="4696" spans="1:2" x14ac:dyDescent="0.2">
      <c r="A4696">
        <v>-7781.3816677207942</v>
      </c>
      <c r="B4696">
        <v>16046.877545293013</v>
      </c>
    </row>
    <row r="4697" spans="1:2" x14ac:dyDescent="0.2">
      <c r="A4697">
        <v>5986.7766926498152</v>
      </c>
      <c r="B4697">
        <v>16067.857230902096</v>
      </c>
    </row>
    <row r="4698" spans="1:2" x14ac:dyDescent="0.2">
      <c r="A4698">
        <v>904.88508929789532</v>
      </c>
      <c r="B4698">
        <v>16079.459428085422</v>
      </c>
    </row>
    <row r="4699" spans="1:2" x14ac:dyDescent="0.2">
      <c r="A4699">
        <v>-4327.8325834358693</v>
      </c>
      <c r="B4699">
        <v>16094.459595813183</v>
      </c>
    </row>
    <row r="4700" spans="1:2" x14ac:dyDescent="0.2">
      <c r="A4700">
        <v>-9438.6196884041419</v>
      </c>
      <c r="B4700">
        <v>16101.050623939926</v>
      </c>
    </row>
    <row r="4701" spans="1:2" x14ac:dyDescent="0.2">
      <c r="A4701">
        <v>-12795.552681191824</v>
      </c>
      <c r="B4701">
        <v>16194.171352529374</v>
      </c>
    </row>
    <row r="4702" spans="1:2" x14ac:dyDescent="0.2">
      <c r="A4702">
        <v>12172.741160422462</v>
      </c>
      <c r="B4702">
        <v>16199.987822066003</v>
      </c>
    </row>
    <row r="4703" spans="1:2" x14ac:dyDescent="0.2">
      <c r="A4703">
        <v>6124.5552373625105</v>
      </c>
      <c r="B4703">
        <v>16205.306052712607</v>
      </c>
    </row>
    <row r="4704" spans="1:2" x14ac:dyDescent="0.2">
      <c r="A4704">
        <v>9279.4543726539705</v>
      </c>
      <c r="B4704">
        <v>16208.909926427354</v>
      </c>
    </row>
    <row r="4705" spans="1:2" x14ac:dyDescent="0.2">
      <c r="A4705">
        <v>-1829.0751285568113</v>
      </c>
      <c r="B4705">
        <v>16264.255722746369</v>
      </c>
    </row>
    <row r="4706" spans="1:2" x14ac:dyDescent="0.2">
      <c r="A4706">
        <v>-2581.9460263654764</v>
      </c>
      <c r="B4706">
        <v>16279.437525410001</v>
      </c>
    </row>
    <row r="4707" spans="1:2" x14ac:dyDescent="0.2">
      <c r="A4707">
        <v>12229.74446626383</v>
      </c>
      <c r="B4707">
        <v>16291.749656875909</v>
      </c>
    </row>
    <row r="4708" spans="1:2" x14ac:dyDescent="0.2">
      <c r="A4708">
        <v>733.44911581493216</v>
      </c>
      <c r="B4708">
        <v>16296.799314978343</v>
      </c>
    </row>
    <row r="4709" spans="1:2" x14ac:dyDescent="0.2">
      <c r="A4709">
        <v>4792.8139016325003</v>
      </c>
      <c r="B4709">
        <v>16312.019126468978</v>
      </c>
    </row>
    <row r="4710" spans="1:2" x14ac:dyDescent="0.2">
      <c r="A4710">
        <v>7532.9567514294176</v>
      </c>
      <c r="B4710">
        <v>16343.008940209431</v>
      </c>
    </row>
    <row r="4711" spans="1:2" x14ac:dyDescent="0.2">
      <c r="A4711">
        <v>-22660.97150663269</v>
      </c>
      <c r="B4711">
        <v>16346.573598805378</v>
      </c>
    </row>
    <row r="4712" spans="1:2" x14ac:dyDescent="0.2">
      <c r="A4712">
        <v>-1923.6598960369593</v>
      </c>
      <c r="B4712">
        <v>16350.617735485197</v>
      </c>
    </row>
    <row r="4713" spans="1:2" x14ac:dyDescent="0.2">
      <c r="A4713">
        <v>8081.6632118941052</v>
      </c>
      <c r="B4713">
        <v>16358.555732080218</v>
      </c>
    </row>
    <row r="4714" spans="1:2" x14ac:dyDescent="0.2">
      <c r="A4714">
        <v>-9128.3358874724945</v>
      </c>
      <c r="B4714">
        <v>16378.256514883164</v>
      </c>
    </row>
    <row r="4715" spans="1:2" x14ac:dyDescent="0.2">
      <c r="A4715">
        <v>6571.2642524153052</v>
      </c>
      <c r="B4715">
        <v>16393.74736527077</v>
      </c>
    </row>
    <row r="4716" spans="1:2" x14ac:dyDescent="0.2">
      <c r="A4716">
        <v>2667.5171351212775</v>
      </c>
      <c r="B4716">
        <v>16437.598125248711</v>
      </c>
    </row>
    <row r="4717" spans="1:2" x14ac:dyDescent="0.2">
      <c r="A4717">
        <v>-19753.530886475695</v>
      </c>
      <c r="B4717">
        <v>16442.655020084261</v>
      </c>
    </row>
    <row r="4718" spans="1:2" x14ac:dyDescent="0.2">
      <c r="A4718">
        <v>-1767.702642024844</v>
      </c>
      <c r="B4718">
        <v>16468.945753878506</v>
      </c>
    </row>
    <row r="4719" spans="1:2" x14ac:dyDescent="0.2">
      <c r="A4719">
        <v>6225.8124921677809</v>
      </c>
      <c r="B4719">
        <v>16507.179559339944</v>
      </c>
    </row>
    <row r="4720" spans="1:2" x14ac:dyDescent="0.2">
      <c r="A4720">
        <v>-2938.7295392904198</v>
      </c>
      <c r="B4720">
        <v>16515.191065951221</v>
      </c>
    </row>
    <row r="4721" spans="1:2" x14ac:dyDescent="0.2">
      <c r="A4721">
        <v>2561.786141430086</v>
      </c>
      <c r="B4721">
        <v>16523.212220438669</v>
      </c>
    </row>
    <row r="4722" spans="1:2" x14ac:dyDescent="0.2">
      <c r="A4722">
        <v>10587.281317369139</v>
      </c>
      <c r="B4722">
        <v>16541.236818998819</v>
      </c>
    </row>
    <row r="4723" spans="1:2" x14ac:dyDescent="0.2">
      <c r="A4723">
        <v>-6369.6956720248854</v>
      </c>
      <c r="B4723">
        <v>16552.410438195948</v>
      </c>
    </row>
    <row r="4724" spans="1:2" x14ac:dyDescent="0.2">
      <c r="A4724">
        <v>9316.784770046972</v>
      </c>
      <c r="B4724">
        <v>16579.231180113682</v>
      </c>
    </row>
    <row r="4725" spans="1:2" x14ac:dyDescent="0.2">
      <c r="A4725">
        <v>-176.49982066146913</v>
      </c>
      <c r="B4725">
        <v>16602.761194350751</v>
      </c>
    </row>
    <row r="4726" spans="1:2" x14ac:dyDescent="0.2">
      <c r="A4726">
        <v>-11493.522345693724</v>
      </c>
      <c r="B4726">
        <v>16627.244582226383</v>
      </c>
    </row>
    <row r="4727" spans="1:2" x14ac:dyDescent="0.2">
      <c r="A4727">
        <v>3280.6833452989813</v>
      </c>
      <c r="B4727">
        <v>16643.887192595343</v>
      </c>
    </row>
    <row r="4728" spans="1:2" x14ac:dyDescent="0.2">
      <c r="A4728">
        <v>6811.2747768972768</v>
      </c>
      <c r="B4728">
        <v>16658.493574934138</v>
      </c>
    </row>
    <row r="4729" spans="1:2" x14ac:dyDescent="0.2">
      <c r="A4729">
        <v>-6980.8538658430043</v>
      </c>
      <c r="B4729">
        <v>16660.381210590451</v>
      </c>
    </row>
    <row r="4730" spans="1:2" x14ac:dyDescent="0.2">
      <c r="A4730">
        <v>7548.293715042877</v>
      </c>
      <c r="B4730">
        <v>16675.106303782581</v>
      </c>
    </row>
    <row r="4731" spans="1:2" x14ac:dyDescent="0.2">
      <c r="A4731">
        <v>-5277.4182409876375</v>
      </c>
      <c r="B4731">
        <v>16682.352047498629</v>
      </c>
    </row>
    <row r="4732" spans="1:2" x14ac:dyDescent="0.2">
      <c r="A4732">
        <v>-1562.3625246399897</v>
      </c>
      <c r="B4732">
        <v>16690.997027851641</v>
      </c>
    </row>
    <row r="4733" spans="1:2" x14ac:dyDescent="0.2">
      <c r="A4733">
        <v>4103.5031855902344</v>
      </c>
      <c r="B4733">
        <v>16694.393490871735</v>
      </c>
    </row>
    <row r="4734" spans="1:2" x14ac:dyDescent="0.2">
      <c r="A4734">
        <v>7164.1461524690967</v>
      </c>
      <c r="B4734">
        <v>16709.356984064914</v>
      </c>
    </row>
    <row r="4735" spans="1:2" x14ac:dyDescent="0.2">
      <c r="A4735">
        <v>5844.8716166777303</v>
      </c>
      <c r="B4735">
        <v>16721.749349471211</v>
      </c>
    </row>
    <row r="4736" spans="1:2" x14ac:dyDescent="0.2">
      <c r="A4736">
        <v>1393.6480408360658</v>
      </c>
      <c r="B4736">
        <v>16722.684451255365</v>
      </c>
    </row>
    <row r="4737" spans="1:2" x14ac:dyDescent="0.2">
      <c r="A4737">
        <v>115.47994542712695</v>
      </c>
      <c r="B4737">
        <v>16730.515529043681</v>
      </c>
    </row>
    <row r="4738" spans="1:2" x14ac:dyDescent="0.2">
      <c r="A4738">
        <v>1953.3159606363333</v>
      </c>
      <c r="B4738">
        <v>16766.618638905464</v>
      </c>
    </row>
    <row r="4739" spans="1:2" x14ac:dyDescent="0.2">
      <c r="A4739">
        <v>2075.2534423489124</v>
      </c>
      <c r="B4739">
        <v>16767.101052145066</v>
      </c>
    </row>
    <row r="4740" spans="1:2" x14ac:dyDescent="0.2">
      <c r="A4740">
        <v>11603.616329603814</v>
      </c>
      <c r="B4740">
        <v>16792.964559519984</v>
      </c>
    </row>
    <row r="4741" spans="1:2" x14ac:dyDescent="0.2">
      <c r="A4741">
        <v>12795.7985311253</v>
      </c>
      <c r="B4741">
        <v>16802.160895732261</v>
      </c>
    </row>
    <row r="4742" spans="1:2" x14ac:dyDescent="0.2">
      <c r="A4742">
        <v>-389.8102539027459</v>
      </c>
      <c r="B4742">
        <v>16822.749407105352</v>
      </c>
    </row>
    <row r="4743" spans="1:2" x14ac:dyDescent="0.2">
      <c r="A4743">
        <v>-20085.802399600041</v>
      </c>
      <c r="B4743">
        <v>16830.702459285385</v>
      </c>
    </row>
    <row r="4744" spans="1:2" x14ac:dyDescent="0.2">
      <c r="A4744">
        <v>-1493.5604742069263</v>
      </c>
      <c r="B4744">
        <v>16838.734159433807</v>
      </c>
    </row>
    <row r="4745" spans="1:2" x14ac:dyDescent="0.2">
      <c r="A4745">
        <v>4012.7714425603044</v>
      </c>
      <c r="B4745">
        <v>16845.089154652669</v>
      </c>
    </row>
    <row r="4746" spans="1:2" x14ac:dyDescent="0.2">
      <c r="A4746">
        <v>10116.597630456119</v>
      </c>
      <c r="B4746">
        <v>16854.259302806284</v>
      </c>
    </row>
    <row r="4747" spans="1:2" x14ac:dyDescent="0.2">
      <c r="A4747">
        <v>4387.0923632284102</v>
      </c>
      <c r="B4747">
        <v>16867.117175712221</v>
      </c>
    </row>
    <row r="4748" spans="1:2" x14ac:dyDescent="0.2">
      <c r="A4748">
        <v>9101.2504402524501</v>
      </c>
      <c r="B4748">
        <v>16867.714231189719</v>
      </c>
    </row>
    <row r="4749" spans="1:2" x14ac:dyDescent="0.2">
      <c r="A4749">
        <v>3061.1698066807876</v>
      </c>
      <c r="B4749">
        <v>16889.76236494843</v>
      </c>
    </row>
    <row r="4750" spans="1:2" x14ac:dyDescent="0.2">
      <c r="A4750">
        <v>12731.504314184946</v>
      </c>
      <c r="B4750">
        <v>16902.930861650209</v>
      </c>
    </row>
    <row r="4751" spans="1:2" x14ac:dyDescent="0.2">
      <c r="A4751">
        <v>-13179.345578381035</v>
      </c>
      <c r="B4751">
        <v>16907.721228291048</v>
      </c>
    </row>
    <row r="4752" spans="1:2" x14ac:dyDescent="0.2">
      <c r="A4752">
        <v>1380.5613988364348</v>
      </c>
      <c r="B4752">
        <v>16926.581835591496</v>
      </c>
    </row>
    <row r="4753" spans="1:2" x14ac:dyDescent="0.2">
      <c r="A4753">
        <v>10699.962030809926</v>
      </c>
      <c r="B4753">
        <v>16959.435619369091</v>
      </c>
    </row>
    <row r="4754" spans="1:2" x14ac:dyDescent="0.2">
      <c r="A4754">
        <v>-378.542406420107</v>
      </c>
      <c r="B4754">
        <v>16971.673460405087</v>
      </c>
    </row>
    <row r="4755" spans="1:2" x14ac:dyDescent="0.2">
      <c r="A4755">
        <v>-6940.3714129409636</v>
      </c>
      <c r="B4755">
        <v>16977.311810049287</v>
      </c>
    </row>
    <row r="4756" spans="1:2" x14ac:dyDescent="0.2">
      <c r="A4756">
        <v>-830.19036184635479</v>
      </c>
      <c r="B4756">
        <v>16978.533679087821</v>
      </c>
    </row>
    <row r="4757" spans="1:2" x14ac:dyDescent="0.2">
      <c r="A4757">
        <v>13019.210257411323</v>
      </c>
      <c r="B4757">
        <v>16978.724747590779</v>
      </c>
    </row>
    <row r="4758" spans="1:2" x14ac:dyDescent="0.2">
      <c r="A4758">
        <v>7576.1753450212127</v>
      </c>
      <c r="B4758">
        <v>16988.228452065261</v>
      </c>
    </row>
    <row r="4759" spans="1:2" x14ac:dyDescent="0.2">
      <c r="A4759">
        <v>2340.7327843105886</v>
      </c>
      <c r="B4759">
        <v>16995.43354927082</v>
      </c>
    </row>
    <row r="4760" spans="1:2" x14ac:dyDescent="0.2">
      <c r="A4760">
        <v>11564.370033801883</v>
      </c>
      <c r="B4760">
        <v>16998.464081404411</v>
      </c>
    </row>
    <row r="4761" spans="1:2" x14ac:dyDescent="0.2">
      <c r="A4761">
        <v>3002.0801833336009</v>
      </c>
      <c r="B4761">
        <v>17026.223634254537</v>
      </c>
    </row>
    <row r="4762" spans="1:2" x14ac:dyDescent="0.2">
      <c r="A4762">
        <v>-7396.3063849947648</v>
      </c>
      <c r="B4762">
        <v>17073.618973531586</v>
      </c>
    </row>
    <row r="4763" spans="1:2" x14ac:dyDescent="0.2">
      <c r="A4763">
        <v>477.20827439631103</v>
      </c>
      <c r="B4763">
        <v>17088.094387830846</v>
      </c>
    </row>
    <row r="4764" spans="1:2" x14ac:dyDescent="0.2">
      <c r="A4764">
        <v>-4490.3053031326854</v>
      </c>
      <c r="B4764">
        <v>17111.922872743802</v>
      </c>
    </row>
    <row r="4765" spans="1:2" x14ac:dyDescent="0.2">
      <c r="A4765">
        <v>588.13377190718893</v>
      </c>
      <c r="B4765">
        <v>17136.729702421158</v>
      </c>
    </row>
    <row r="4766" spans="1:2" x14ac:dyDescent="0.2">
      <c r="A4766">
        <v>-17958.748646163411</v>
      </c>
      <c r="B4766">
        <v>17150.018170087045</v>
      </c>
    </row>
    <row r="4767" spans="1:2" x14ac:dyDescent="0.2">
      <c r="A4767">
        <v>-12619.128514201875</v>
      </c>
      <c r="B4767">
        <v>17151.43927231399</v>
      </c>
    </row>
    <row r="4768" spans="1:2" x14ac:dyDescent="0.2">
      <c r="A4768">
        <v>-3661.1358454328147</v>
      </c>
      <c r="B4768">
        <v>17157.585853617609</v>
      </c>
    </row>
    <row r="4769" spans="1:2" x14ac:dyDescent="0.2">
      <c r="A4769">
        <v>-5584.6488507873146</v>
      </c>
      <c r="B4769">
        <v>17164.487199839379</v>
      </c>
    </row>
    <row r="4770" spans="1:2" x14ac:dyDescent="0.2">
      <c r="A4770">
        <v>-3471.935652998829</v>
      </c>
      <c r="B4770">
        <v>17165.492943344812</v>
      </c>
    </row>
    <row r="4771" spans="1:2" x14ac:dyDescent="0.2">
      <c r="A4771">
        <v>6862.4787296475261</v>
      </c>
      <c r="B4771">
        <v>17194.356488592573</v>
      </c>
    </row>
    <row r="4772" spans="1:2" x14ac:dyDescent="0.2">
      <c r="A4772">
        <v>9959.1470096611301</v>
      </c>
      <c r="B4772">
        <v>17195.384257068683</v>
      </c>
    </row>
    <row r="4773" spans="1:2" x14ac:dyDescent="0.2">
      <c r="A4773">
        <v>2350.0148538216017</v>
      </c>
      <c r="B4773">
        <v>17200.655473511317</v>
      </c>
    </row>
    <row r="4774" spans="1:2" x14ac:dyDescent="0.2">
      <c r="A4774">
        <v>-4550.7531666108989</v>
      </c>
      <c r="B4774">
        <v>17261.467309633474</v>
      </c>
    </row>
    <row r="4775" spans="1:2" x14ac:dyDescent="0.2">
      <c r="A4775">
        <v>11171.894261508598</v>
      </c>
      <c r="B4775">
        <v>17307.379208510334</v>
      </c>
    </row>
    <row r="4776" spans="1:2" x14ac:dyDescent="0.2">
      <c r="A4776">
        <v>-7894.081446603348</v>
      </c>
      <c r="B4776">
        <v>17313.043214929872</v>
      </c>
    </row>
    <row r="4777" spans="1:2" x14ac:dyDescent="0.2">
      <c r="A4777">
        <v>-12347.286148172716</v>
      </c>
      <c r="B4777">
        <v>17323.786620647705</v>
      </c>
    </row>
    <row r="4778" spans="1:2" x14ac:dyDescent="0.2">
      <c r="A4778">
        <v>-53.117841753526591</v>
      </c>
      <c r="B4778">
        <v>17336.074545805284</v>
      </c>
    </row>
    <row r="4779" spans="1:2" x14ac:dyDescent="0.2">
      <c r="A4779">
        <v>16346.573598805378</v>
      </c>
      <c r="B4779">
        <v>17379.483445863996</v>
      </c>
    </row>
    <row r="4780" spans="1:2" x14ac:dyDescent="0.2">
      <c r="A4780">
        <v>3040.6876083899406</v>
      </c>
      <c r="B4780">
        <v>17401.400952755997</v>
      </c>
    </row>
    <row r="4781" spans="1:2" x14ac:dyDescent="0.2">
      <c r="A4781">
        <v>5484.4593940686027</v>
      </c>
      <c r="B4781">
        <v>17402.712808696888</v>
      </c>
    </row>
    <row r="4782" spans="1:2" x14ac:dyDescent="0.2">
      <c r="A4782">
        <v>-290.76073786942288</v>
      </c>
      <c r="B4782">
        <v>17416.86167542031</v>
      </c>
    </row>
    <row r="4783" spans="1:2" x14ac:dyDescent="0.2">
      <c r="A4783">
        <v>12143.714800568967</v>
      </c>
      <c r="B4783">
        <v>17441.561389400216</v>
      </c>
    </row>
    <row r="4784" spans="1:2" x14ac:dyDescent="0.2">
      <c r="A4784">
        <v>-2436.3901297171251</v>
      </c>
      <c r="B4784">
        <v>17449.028776805266</v>
      </c>
    </row>
    <row r="4785" spans="1:2" x14ac:dyDescent="0.2">
      <c r="A4785">
        <v>-24861.439538742008</v>
      </c>
      <c r="B4785">
        <v>17476.730369272234</v>
      </c>
    </row>
    <row r="4786" spans="1:2" x14ac:dyDescent="0.2">
      <c r="A4786">
        <v>8538.4617233001045</v>
      </c>
      <c r="B4786">
        <v>17496.623532323836</v>
      </c>
    </row>
    <row r="4787" spans="1:2" x14ac:dyDescent="0.2">
      <c r="A4787">
        <v>507.98359065089608</v>
      </c>
      <c r="B4787">
        <v>17513.039558193646</v>
      </c>
    </row>
    <row r="4788" spans="1:2" x14ac:dyDescent="0.2">
      <c r="A4788">
        <v>24351.792158363154</v>
      </c>
      <c r="B4788">
        <v>17524.330556441302</v>
      </c>
    </row>
    <row r="4789" spans="1:2" x14ac:dyDescent="0.2">
      <c r="A4789">
        <v>828.04519130015979</v>
      </c>
      <c r="B4789">
        <v>17532.180318591301</v>
      </c>
    </row>
    <row r="4790" spans="1:2" x14ac:dyDescent="0.2">
      <c r="A4790">
        <v>8728.8693167068996</v>
      </c>
      <c r="B4790">
        <v>17549.142841735083</v>
      </c>
    </row>
    <row r="4791" spans="1:2" x14ac:dyDescent="0.2">
      <c r="A4791">
        <v>1462.2626112612779</v>
      </c>
      <c r="B4791">
        <v>17572.101190470217</v>
      </c>
    </row>
    <row r="4792" spans="1:2" x14ac:dyDescent="0.2">
      <c r="A4792">
        <v>-1963.6328153009526</v>
      </c>
      <c r="B4792">
        <v>17574.400281710085</v>
      </c>
    </row>
    <row r="4793" spans="1:2" x14ac:dyDescent="0.2">
      <c r="A4793">
        <v>9987.4689970731852</v>
      </c>
      <c r="B4793">
        <v>17580.889139895386</v>
      </c>
    </row>
    <row r="4794" spans="1:2" x14ac:dyDescent="0.2">
      <c r="A4794">
        <v>9751.5544654777623</v>
      </c>
      <c r="B4794">
        <v>17601.297589550813</v>
      </c>
    </row>
    <row r="4795" spans="1:2" x14ac:dyDescent="0.2">
      <c r="A4795">
        <v>23559.950533405412</v>
      </c>
      <c r="B4795">
        <v>17604.602116155031</v>
      </c>
    </row>
    <row r="4796" spans="1:2" x14ac:dyDescent="0.2">
      <c r="A4796">
        <v>-10570.555786536832</v>
      </c>
      <c r="B4796">
        <v>17612.614199406758</v>
      </c>
    </row>
    <row r="4797" spans="1:2" x14ac:dyDescent="0.2">
      <c r="A4797">
        <v>10920.686489420812</v>
      </c>
      <c r="B4797">
        <v>17617.336939738976</v>
      </c>
    </row>
    <row r="4798" spans="1:2" x14ac:dyDescent="0.2">
      <c r="A4798">
        <v>5674.7839994871465</v>
      </c>
      <c r="B4798">
        <v>17621.218154463364</v>
      </c>
    </row>
    <row r="4799" spans="1:2" x14ac:dyDescent="0.2">
      <c r="A4799">
        <v>14823.15893189708</v>
      </c>
      <c r="B4799">
        <v>17627.892185675621</v>
      </c>
    </row>
    <row r="4800" spans="1:2" x14ac:dyDescent="0.2">
      <c r="A4800">
        <v>-20914.647264317027</v>
      </c>
      <c r="B4800">
        <v>17629.686611085082</v>
      </c>
    </row>
    <row r="4801" spans="1:2" x14ac:dyDescent="0.2">
      <c r="A4801">
        <v>-2050.4085777344881</v>
      </c>
      <c r="B4801">
        <v>17742.420724404335</v>
      </c>
    </row>
    <row r="4802" spans="1:2" x14ac:dyDescent="0.2">
      <c r="A4802">
        <v>7788.3579509568226</v>
      </c>
      <c r="B4802">
        <v>17780.709976409387</v>
      </c>
    </row>
    <row r="4803" spans="1:2" x14ac:dyDescent="0.2">
      <c r="A4803">
        <v>1006.2075430988334</v>
      </c>
      <c r="B4803">
        <v>17820.217102262948</v>
      </c>
    </row>
    <row r="4804" spans="1:2" x14ac:dyDescent="0.2">
      <c r="A4804">
        <v>3962.8900333578349</v>
      </c>
      <c r="B4804">
        <v>17842.841107989749</v>
      </c>
    </row>
    <row r="4805" spans="1:2" x14ac:dyDescent="0.2">
      <c r="A4805">
        <v>9896.2508550841885</v>
      </c>
      <c r="B4805">
        <v>17847.171694229008</v>
      </c>
    </row>
    <row r="4806" spans="1:2" x14ac:dyDescent="0.2">
      <c r="A4806">
        <v>9731.466761211108</v>
      </c>
      <c r="B4806">
        <v>17874.939267152135</v>
      </c>
    </row>
    <row r="4807" spans="1:2" x14ac:dyDescent="0.2">
      <c r="A4807">
        <v>4415.6463269293599</v>
      </c>
      <c r="B4807">
        <v>17879.502675785014</v>
      </c>
    </row>
    <row r="4808" spans="1:2" x14ac:dyDescent="0.2">
      <c r="A4808">
        <v>5677.8269569941622</v>
      </c>
      <c r="B4808">
        <v>17897.497686897463</v>
      </c>
    </row>
    <row r="4809" spans="1:2" x14ac:dyDescent="0.2">
      <c r="A4809">
        <v>20829.983571956051</v>
      </c>
      <c r="B4809">
        <v>17897.638927167049</v>
      </c>
    </row>
    <row r="4810" spans="1:2" x14ac:dyDescent="0.2">
      <c r="A4810">
        <v>190.08717456462909</v>
      </c>
      <c r="B4810">
        <v>17898.235624998022</v>
      </c>
    </row>
    <row r="4811" spans="1:2" x14ac:dyDescent="0.2">
      <c r="A4811">
        <v>-26484.448584814323</v>
      </c>
      <c r="B4811">
        <v>17908.636642456753</v>
      </c>
    </row>
    <row r="4812" spans="1:2" x14ac:dyDescent="0.2">
      <c r="A4812">
        <v>3608.217483962886</v>
      </c>
      <c r="B4812">
        <v>17910.878095558815</v>
      </c>
    </row>
    <row r="4813" spans="1:2" x14ac:dyDescent="0.2">
      <c r="A4813">
        <v>751.11527046153788</v>
      </c>
      <c r="B4813">
        <v>17917.611804884655</v>
      </c>
    </row>
    <row r="4814" spans="1:2" x14ac:dyDescent="0.2">
      <c r="A4814">
        <v>-1665.8745537155191</v>
      </c>
      <c r="B4814">
        <v>17923.076554627449</v>
      </c>
    </row>
    <row r="4815" spans="1:2" x14ac:dyDescent="0.2">
      <c r="A4815">
        <v>-8640.6884467355558</v>
      </c>
      <c r="B4815">
        <v>17965.791724693903</v>
      </c>
    </row>
    <row r="4816" spans="1:2" x14ac:dyDescent="0.2">
      <c r="A4816">
        <v>5629.1741586383723</v>
      </c>
      <c r="B4816">
        <v>18013.954563360254</v>
      </c>
    </row>
    <row r="4817" spans="1:2" x14ac:dyDescent="0.2">
      <c r="A4817">
        <v>-18277.06458720431</v>
      </c>
      <c r="B4817">
        <v>18018.722444040875</v>
      </c>
    </row>
    <row r="4818" spans="1:2" x14ac:dyDescent="0.2">
      <c r="A4818">
        <v>8427.2758323803719</v>
      </c>
      <c r="B4818">
        <v>18050.40301951865</v>
      </c>
    </row>
    <row r="4819" spans="1:2" x14ac:dyDescent="0.2">
      <c r="A4819">
        <v>10563.606465420831</v>
      </c>
      <c r="B4819">
        <v>18051.845832075313</v>
      </c>
    </row>
    <row r="4820" spans="1:2" x14ac:dyDescent="0.2">
      <c r="A4820">
        <v>-4566.1756493825815</v>
      </c>
      <c r="B4820">
        <v>18053.510855661894</v>
      </c>
    </row>
    <row r="4821" spans="1:2" x14ac:dyDescent="0.2">
      <c r="A4821">
        <v>-3367.4055656536075</v>
      </c>
      <c r="B4821">
        <v>18058.931572999631</v>
      </c>
    </row>
    <row r="4822" spans="1:2" x14ac:dyDescent="0.2">
      <c r="A4822">
        <v>9153.3615982401534</v>
      </c>
      <c r="B4822">
        <v>18097.435975188302</v>
      </c>
    </row>
    <row r="4823" spans="1:2" x14ac:dyDescent="0.2">
      <c r="A4823">
        <v>-2399.3480182680069</v>
      </c>
      <c r="B4823">
        <v>18105.209608820267</v>
      </c>
    </row>
    <row r="4824" spans="1:2" x14ac:dyDescent="0.2">
      <c r="A4824">
        <v>5881.3840868745465</v>
      </c>
      <c r="B4824">
        <v>18113.122915055428</v>
      </c>
    </row>
    <row r="4825" spans="1:2" x14ac:dyDescent="0.2">
      <c r="A4825">
        <v>-8439.6078300322406</v>
      </c>
      <c r="B4825">
        <v>18193.161966888933</v>
      </c>
    </row>
    <row r="4826" spans="1:2" x14ac:dyDescent="0.2">
      <c r="A4826">
        <v>6674.355483067804</v>
      </c>
      <c r="B4826">
        <v>18214.215290351422</v>
      </c>
    </row>
    <row r="4827" spans="1:2" x14ac:dyDescent="0.2">
      <c r="A4827">
        <v>17150.018170087045</v>
      </c>
      <c r="B4827">
        <v>18217.922396216774</v>
      </c>
    </row>
    <row r="4828" spans="1:2" x14ac:dyDescent="0.2">
      <c r="A4828">
        <v>1275.4690065399627</v>
      </c>
      <c r="B4828">
        <v>18258.206912217312</v>
      </c>
    </row>
    <row r="4829" spans="1:2" x14ac:dyDescent="0.2">
      <c r="A4829">
        <v>1806.7047918184544</v>
      </c>
      <c r="B4829">
        <v>18273.668227613322</v>
      </c>
    </row>
    <row r="4830" spans="1:2" x14ac:dyDescent="0.2">
      <c r="A4830">
        <v>4043.0256835545879</v>
      </c>
      <c r="B4830">
        <v>18287.653619565564</v>
      </c>
    </row>
    <row r="4831" spans="1:2" x14ac:dyDescent="0.2">
      <c r="A4831">
        <v>10726.87117221512</v>
      </c>
      <c r="B4831">
        <v>18325.495811339759</v>
      </c>
    </row>
    <row r="4832" spans="1:2" x14ac:dyDescent="0.2">
      <c r="A4832">
        <v>-10133.737781160336</v>
      </c>
      <c r="B4832">
        <v>18397.3975460816</v>
      </c>
    </row>
    <row r="4833" spans="1:2" x14ac:dyDescent="0.2">
      <c r="A4833">
        <v>-1794.4740772903751</v>
      </c>
      <c r="B4833">
        <v>18398.203374584176</v>
      </c>
    </row>
    <row r="4834" spans="1:2" x14ac:dyDescent="0.2">
      <c r="A4834">
        <v>2525.2177540493431</v>
      </c>
      <c r="B4834">
        <v>18399.626297660987</v>
      </c>
    </row>
    <row r="4835" spans="1:2" x14ac:dyDescent="0.2">
      <c r="A4835">
        <v>23532.261018236895</v>
      </c>
      <c r="B4835">
        <v>18417.176833029662</v>
      </c>
    </row>
    <row r="4836" spans="1:2" x14ac:dyDescent="0.2">
      <c r="A4836">
        <v>6078.7635739891848</v>
      </c>
      <c r="B4836">
        <v>18426.935779113745</v>
      </c>
    </row>
    <row r="4837" spans="1:2" x14ac:dyDescent="0.2">
      <c r="A4837">
        <v>10596.341221261478</v>
      </c>
      <c r="B4837">
        <v>18434.375517808876</v>
      </c>
    </row>
    <row r="4838" spans="1:2" x14ac:dyDescent="0.2">
      <c r="A4838">
        <v>19540.878847247543</v>
      </c>
      <c r="B4838">
        <v>18455.613780599466</v>
      </c>
    </row>
    <row r="4839" spans="1:2" x14ac:dyDescent="0.2">
      <c r="A4839">
        <v>-1607.460064922634</v>
      </c>
      <c r="B4839">
        <v>18477.010154250573</v>
      </c>
    </row>
    <row r="4840" spans="1:2" x14ac:dyDescent="0.2">
      <c r="A4840">
        <v>4086.6762190367444</v>
      </c>
      <c r="B4840">
        <v>18488.900714480988</v>
      </c>
    </row>
    <row r="4841" spans="1:2" x14ac:dyDescent="0.2">
      <c r="A4841">
        <v>2660.7725849343406</v>
      </c>
      <c r="B4841">
        <v>18494.791443022958</v>
      </c>
    </row>
    <row r="4842" spans="1:2" x14ac:dyDescent="0.2">
      <c r="A4842">
        <v>2846.7055503314477</v>
      </c>
      <c r="B4842">
        <v>18495.835942944395</v>
      </c>
    </row>
    <row r="4843" spans="1:2" x14ac:dyDescent="0.2">
      <c r="A4843">
        <v>-4616.3752195859852</v>
      </c>
      <c r="B4843">
        <v>18497.856562754198</v>
      </c>
    </row>
    <row r="4844" spans="1:2" x14ac:dyDescent="0.2">
      <c r="A4844">
        <v>2368.8846167608863</v>
      </c>
      <c r="B4844">
        <v>18499.753762336826</v>
      </c>
    </row>
    <row r="4845" spans="1:2" x14ac:dyDescent="0.2">
      <c r="A4845">
        <v>-371.62512900918955</v>
      </c>
      <c r="B4845">
        <v>18510.053733965731</v>
      </c>
    </row>
    <row r="4846" spans="1:2" x14ac:dyDescent="0.2">
      <c r="A4846">
        <v>9941.1152294547646</v>
      </c>
      <c r="B4846">
        <v>18630.591671716393</v>
      </c>
    </row>
    <row r="4847" spans="1:2" x14ac:dyDescent="0.2">
      <c r="A4847">
        <v>2743.7248301917571</v>
      </c>
      <c r="B4847">
        <v>18638.231497236411</v>
      </c>
    </row>
    <row r="4848" spans="1:2" x14ac:dyDescent="0.2">
      <c r="A4848">
        <v>16867.117175712221</v>
      </c>
      <c r="B4848">
        <v>18648.320661580452</v>
      </c>
    </row>
    <row r="4849" spans="1:2" x14ac:dyDescent="0.2">
      <c r="A4849">
        <v>-20419.362668278802</v>
      </c>
      <c r="B4849">
        <v>18662.257841410581</v>
      </c>
    </row>
    <row r="4850" spans="1:2" x14ac:dyDescent="0.2">
      <c r="A4850">
        <v>6039.0600750492013</v>
      </c>
      <c r="B4850">
        <v>18716.835137148097</v>
      </c>
    </row>
    <row r="4851" spans="1:2" x14ac:dyDescent="0.2">
      <c r="A4851">
        <v>-13174.516097698972</v>
      </c>
      <c r="B4851">
        <v>18823.209772749717</v>
      </c>
    </row>
    <row r="4852" spans="1:2" x14ac:dyDescent="0.2">
      <c r="A4852">
        <v>-892.73054498244892</v>
      </c>
      <c r="B4852">
        <v>18859.025111442257</v>
      </c>
    </row>
    <row r="4853" spans="1:2" x14ac:dyDescent="0.2">
      <c r="A4853">
        <v>2831.8105609423656</v>
      </c>
      <c r="B4853">
        <v>18872.767312971409</v>
      </c>
    </row>
    <row r="4854" spans="1:2" x14ac:dyDescent="0.2">
      <c r="A4854">
        <v>-5313.0583562894608</v>
      </c>
      <c r="B4854">
        <v>18881.810940000694</v>
      </c>
    </row>
    <row r="4855" spans="1:2" x14ac:dyDescent="0.2">
      <c r="A4855">
        <v>-2332.1588915017201</v>
      </c>
      <c r="B4855">
        <v>18965.799229954195</v>
      </c>
    </row>
    <row r="4856" spans="1:2" x14ac:dyDescent="0.2">
      <c r="A4856">
        <v>10516.851690871699</v>
      </c>
      <c r="B4856">
        <v>18968.124003149976</v>
      </c>
    </row>
    <row r="4857" spans="1:2" x14ac:dyDescent="0.2">
      <c r="A4857">
        <v>-11058.287026784499</v>
      </c>
      <c r="B4857">
        <v>19023.355797951765</v>
      </c>
    </row>
    <row r="4858" spans="1:2" x14ac:dyDescent="0.2">
      <c r="A4858">
        <v>12661.718467414612</v>
      </c>
      <c r="B4858">
        <v>19028.123620850558</v>
      </c>
    </row>
    <row r="4859" spans="1:2" x14ac:dyDescent="0.2">
      <c r="A4859">
        <v>-3549.8993108376308</v>
      </c>
      <c r="B4859">
        <v>19074.014830163331</v>
      </c>
    </row>
    <row r="4860" spans="1:2" x14ac:dyDescent="0.2">
      <c r="A4860">
        <v>-3863.6370313324733</v>
      </c>
      <c r="B4860">
        <v>19111.415225889999</v>
      </c>
    </row>
    <row r="4861" spans="1:2" x14ac:dyDescent="0.2">
      <c r="A4861">
        <v>-31352.525067135954</v>
      </c>
      <c r="B4861">
        <v>19151.579899112199</v>
      </c>
    </row>
    <row r="4862" spans="1:2" x14ac:dyDescent="0.2">
      <c r="A4862">
        <v>4768.9159704788763</v>
      </c>
      <c r="B4862">
        <v>19157.623612251715</v>
      </c>
    </row>
    <row r="4863" spans="1:2" x14ac:dyDescent="0.2">
      <c r="A4863">
        <v>1065.118251129752</v>
      </c>
      <c r="B4863">
        <v>19191.035094908788</v>
      </c>
    </row>
    <row r="4864" spans="1:2" x14ac:dyDescent="0.2">
      <c r="A4864">
        <v>-4161.8614923185669</v>
      </c>
      <c r="B4864">
        <v>19191.123220590467</v>
      </c>
    </row>
    <row r="4865" spans="1:2" x14ac:dyDescent="0.2">
      <c r="A4865">
        <v>-8944.6225246329268</v>
      </c>
      <c r="B4865">
        <v>19212.573762843676</v>
      </c>
    </row>
    <row r="4866" spans="1:2" x14ac:dyDescent="0.2">
      <c r="A4866">
        <v>-15502.216050860821</v>
      </c>
      <c r="B4866">
        <v>19240.008609190991</v>
      </c>
    </row>
    <row r="4867" spans="1:2" x14ac:dyDescent="0.2">
      <c r="A4867">
        <v>14735.318923108629</v>
      </c>
      <c r="B4867">
        <v>19275.175292201922</v>
      </c>
    </row>
    <row r="4868" spans="1:2" x14ac:dyDescent="0.2">
      <c r="A4868">
        <v>-17292.783302639553</v>
      </c>
      <c r="B4868">
        <v>19303.962589776376</v>
      </c>
    </row>
    <row r="4869" spans="1:2" x14ac:dyDescent="0.2">
      <c r="A4869">
        <v>-15281.616181830759</v>
      </c>
      <c r="B4869">
        <v>19324.28403636138</v>
      </c>
    </row>
    <row r="4870" spans="1:2" x14ac:dyDescent="0.2">
      <c r="A4870">
        <v>18273.668227613322</v>
      </c>
      <c r="B4870">
        <v>19346.005667066318</v>
      </c>
    </row>
    <row r="4871" spans="1:2" x14ac:dyDescent="0.2">
      <c r="A4871">
        <v>-5064.3645100814465</v>
      </c>
      <c r="B4871">
        <v>19348.11987702694</v>
      </c>
    </row>
    <row r="4872" spans="1:2" x14ac:dyDescent="0.2">
      <c r="A4872">
        <v>-19003.981893297168</v>
      </c>
      <c r="B4872">
        <v>19349.973259849648</v>
      </c>
    </row>
    <row r="4873" spans="1:2" x14ac:dyDescent="0.2">
      <c r="A4873">
        <v>8089.7252424685867</v>
      </c>
      <c r="B4873">
        <v>19355.939516971936</v>
      </c>
    </row>
    <row r="4874" spans="1:2" x14ac:dyDescent="0.2">
      <c r="A4874">
        <v>-1950.4736842467391</v>
      </c>
      <c r="B4874">
        <v>19419.310175590334</v>
      </c>
    </row>
    <row r="4875" spans="1:2" x14ac:dyDescent="0.2">
      <c r="A4875">
        <v>14071.733143437421</v>
      </c>
      <c r="B4875">
        <v>19434.685437515815</v>
      </c>
    </row>
    <row r="4876" spans="1:2" x14ac:dyDescent="0.2">
      <c r="A4876">
        <v>15225.558772584132</v>
      </c>
      <c r="B4876">
        <v>19472.850847712136</v>
      </c>
    </row>
    <row r="4877" spans="1:2" x14ac:dyDescent="0.2">
      <c r="A4877">
        <v>3484.2978534630674</v>
      </c>
      <c r="B4877">
        <v>19492.278937560768</v>
      </c>
    </row>
    <row r="4878" spans="1:2" x14ac:dyDescent="0.2">
      <c r="A4878">
        <v>4828.9046315746673</v>
      </c>
      <c r="B4878">
        <v>19522.007469954842</v>
      </c>
    </row>
    <row r="4879" spans="1:2" x14ac:dyDescent="0.2">
      <c r="A4879">
        <v>9701.8045500027365</v>
      </c>
      <c r="B4879">
        <v>19540.878847247543</v>
      </c>
    </row>
    <row r="4880" spans="1:2" x14ac:dyDescent="0.2">
      <c r="A4880">
        <v>1980.1456431961269</v>
      </c>
      <c r="B4880">
        <v>19587.420181745183</v>
      </c>
    </row>
    <row r="4881" spans="1:2" x14ac:dyDescent="0.2">
      <c r="A4881">
        <v>-9631.9944867293234</v>
      </c>
      <c r="B4881">
        <v>19612.629860995628</v>
      </c>
    </row>
    <row r="4882" spans="1:2" x14ac:dyDescent="0.2">
      <c r="A4882">
        <v>24528.492691426596</v>
      </c>
      <c r="B4882">
        <v>19649.461417360406</v>
      </c>
    </row>
    <row r="4883" spans="1:2" x14ac:dyDescent="0.2">
      <c r="A4883">
        <v>13759.053713619796</v>
      </c>
      <c r="B4883">
        <v>19659.069182291976</v>
      </c>
    </row>
    <row r="4884" spans="1:2" x14ac:dyDescent="0.2">
      <c r="A4884">
        <v>12082.289820599835</v>
      </c>
      <c r="B4884">
        <v>19744.68706132361</v>
      </c>
    </row>
    <row r="4885" spans="1:2" x14ac:dyDescent="0.2">
      <c r="A4885">
        <v>-968.89460137640708</v>
      </c>
      <c r="B4885">
        <v>19776.282566178532</v>
      </c>
    </row>
    <row r="4886" spans="1:2" x14ac:dyDescent="0.2">
      <c r="A4886">
        <v>273.08347996344673</v>
      </c>
      <c r="B4886">
        <v>19805.057751755259</v>
      </c>
    </row>
    <row r="4887" spans="1:2" x14ac:dyDescent="0.2">
      <c r="A4887">
        <v>7769.3477252816665</v>
      </c>
      <c r="B4887">
        <v>19813.502564234659</v>
      </c>
    </row>
    <row r="4888" spans="1:2" x14ac:dyDescent="0.2">
      <c r="A4888">
        <v>-6333.3665779212606</v>
      </c>
      <c r="B4888">
        <v>19848.250315149664</v>
      </c>
    </row>
    <row r="4889" spans="1:2" x14ac:dyDescent="0.2">
      <c r="A4889">
        <v>-2471.910751638643</v>
      </c>
      <c r="B4889">
        <v>19866.247575980466</v>
      </c>
    </row>
    <row r="4890" spans="1:2" x14ac:dyDescent="0.2">
      <c r="A4890">
        <v>8110.4092403367395</v>
      </c>
      <c r="B4890">
        <v>19899.656985754176</v>
      </c>
    </row>
    <row r="4891" spans="1:2" x14ac:dyDescent="0.2">
      <c r="A4891">
        <v>10323.383800444833</v>
      </c>
      <c r="B4891">
        <v>19988.356192588399</v>
      </c>
    </row>
    <row r="4892" spans="1:2" x14ac:dyDescent="0.2">
      <c r="A4892">
        <v>6338.6562005612068</v>
      </c>
      <c r="B4892">
        <v>20002.749181737076</v>
      </c>
    </row>
    <row r="4893" spans="1:2" x14ac:dyDescent="0.2">
      <c r="A4893">
        <v>2987.6427755689365</v>
      </c>
      <c r="B4893">
        <v>20044.881981695682</v>
      </c>
    </row>
    <row r="4894" spans="1:2" x14ac:dyDescent="0.2">
      <c r="A4894">
        <v>-6550.5065243224672</v>
      </c>
      <c r="B4894">
        <v>20053.905000953237</v>
      </c>
    </row>
    <row r="4895" spans="1:2" x14ac:dyDescent="0.2">
      <c r="A4895">
        <v>-3511.8422788086464</v>
      </c>
      <c r="B4895">
        <v>20069.356572349439</v>
      </c>
    </row>
    <row r="4896" spans="1:2" x14ac:dyDescent="0.2">
      <c r="A4896">
        <v>14555.139871020787</v>
      </c>
      <c r="B4896">
        <v>20103.138565805741</v>
      </c>
    </row>
    <row r="4897" spans="1:2" x14ac:dyDescent="0.2">
      <c r="A4897">
        <v>-662.84248585882597</v>
      </c>
      <c r="B4897">
        <v>20137.122813390335</v>
      </c>
    </row>
    <row r="4898" spans="1:2" x14ac:dyDescent="0.2">
      <c r="A4898">
        <v>16907.721228291048</v>
      </c>
      <c r="B4898">
        <v>20176.687787145318</v>
      </c>
    </row>
    <row r="4899" spans="1:2" x14ac:dyDescent="0.2">
      <c r="A4899">
        <v>-15234.588088932418</v>
      </c>
      <c r="B4899">
        <v>20215.117640211654</v>
      </c>
    </row>
    <row r="4900" spans="1:2" x14ac:dyDescent="0.2">
      <c r="A4900">
        <v>10905.925406073249</v>
      </c>
      <c r="B4900">
        <v>20224.163618441409</v>
      </c>
    </row>
    <row r="4901" spans="1:2" x14ac:dyDescent="0.2">
      <c r="A4901">
        <v>-22753.29575363695</v>
      </c>
      <c r="B4901">
        <v>20240.329853935225</v>
      </c>
    </row>
    <row r="4902" spans="1:2" x14ac:dyDescent="0.2">
      <c r="A4902">
        <v>2842.0558899758616</v>
      </c>
      <c r="B4902">
        <v>20275.523320617474</v>
      </c>
    </row>
    <row r="4903" spans="1:2" x14ac:dyDescent="0.2">
      <c r="A4903">
        <v>4677.167680639046</v>
      </c>
      <c r="B4903">
        <v>20296.316773158673</v>
      </c>
    </row>
    <row r="4904" spans="1:2" x14ac:dyDescent="0.2">
      <c r="A4904">
        <v>3849.7557763647346</v>
      </c>
      <c r="B4904">
        <v>20404.903425954923</v>
      </c>
    </row>
    <row r="4905" spans="1:2" x14ac:dyDescent="0.2">
      <c r="A4905">
        <v>-4983.3479899757658</v>
      </c>
      <c r="B4905">
        <v>20519.765903559019</v>
      </c>
    </row>
    <row r="4906" spans="1:2" x14ac:dyDescent="0.2">
      <c r="A4906">
        <v>5024.2326595201157</v>
      </c>
      <c r="B4906">
        <v>20537.89557003435</v>
      </c>
    </row>
    <row r="4907" spans="1:2" x14ac:dyDescent="0.2">
      <c r="A4907">
        <v>-3639.7855947883218</v>
      </c>
      <c r="B4907">
        <v>20569.562832724681</v>
      </c>
    </row>
    <row r="4908" spans="1:2" x14ac:dyDescent="0.2">
      <c r="A4908">
        <v>-5045.7470738854026</v>
      </c>
      <c r="B4908">
        <v>20574.472021425958</v>
      </c>
    </row>
    <row r="4909" spans="1:2" x14ac:dyDescent="0.2">
      <c r="A4909">
        <v>-10865.734350972285</v>
      </c>
      <c r="B4909">
        <v>20625.120011985186</v>
      </c>
    </row>
    <row r="4910" spans="1:2" x14ac:dyDescent="0.2">
      <c r="A4910">
        <v>20519.765903559019</v>
      </c>
      <c r="B4910">
        <v>20653.490252428281</v>
      </c>
    </row>
    <row r="4911" spans="1:2" x14ac:dyDescent="0.2">
      <c r="A4911">
        <v>-8048.887593081512</v>
      </c>
      <c r="B4911">
        <v>20719.55718419599</v>
      </c>
    </row>
    <row r="4912" spans="1:2" x14ac:dyDescent="0.2">
      <c r="A4912">
        <v>-7110.4323149382253</v>
      </c>
      <c r="B4912">
        <v>20732.534829612239</v>
      </c>
    </row>
    <row r="4913" spans="1:2" x14ac:dyDescent="0.2">
      <c r="A4913">
        <v>-4938.3147369806247</v>
      </c>
      <c r="B4913">
        <v>20756.28597650447</v>
      </c>
    </row>
    <row r="4914" spans="1:2" x14ac:dyDescent="0.2">
      <c r="A4914">
        <v>18.252002833120059</v>
      </c>
      <c r="B4914">
        <v>20829.983571956051</v>
      </c>
    </row>
    <row r="4915" spans="1:2" x14ac:dyDescent="0.2">
      <c r="A4915">
        <v>5132.9757699250476</v>
      </c>
      <c r="B4915">
        <v>20902.527920810855</v>
      </c>
    </row>
    <row r="4916" spans="1:2" x14ac:dyDescent="0.2">
      <c r="A4916">
        <v>1595.5029945953574</v>
      </c>
      <c r="B4916">
        <v>20965.174967584331</v>
      </c>
    </row>
    <row r="4917" spans="1:2" x14ac:dyDescent="0.2">
      <c r="A4917">
        <v>3423.3354498057452</v>
      </c>
      <c r="B4917">
        <v>21019.980136675469</v>
      </c>
    </row>
    <row r="4918" spans="1:2" x14ac:dyDescent="0.2">
      <c r="A4918">
        <v>3478.510541119409</v>
      </c>
      <c r="B4918">
        <v>21057.726576724323</v>
      </c>
    </row>
    <row r="4919" spans="1:2" x14ac:dyDescent="0.2">
      <c r="A4919">
        <v>6166.077385618526</v>
      </c>
      <c r="B4919">
        <v>21146.534914447198</v>
      </c>
    </row>
    <row r="4920" spans="1:2" x14ac:dyDescent="0.2">
      <c r="A4920">
        <v>18287.653619565564</v>
      </c>
      <c r="B4920">
        <v>21216.276425459364</v>
      </c>
    </row>
    <row r="4921" spans="1:2" x14ac:dyDescent="0.2">
      <c r="A4921">
        <v>13996.749144677975</v>
      </c>
      <c r="B4921">
        <v>21252.022735973238</v>
      </c>
    </row>
    <row r="4922" spans="1:2" x14ac:dyDescent="0.2">
      <c r="A4922">
        <v>11486.259589549794</v>
      </c>
      <c r="B4922">
        <v>21339.189156081586</v>
      </c>
    </row>
    <row r="4923" spans="1:2" x14ac:dyDescent="0.2">
      <c r="A4923">
        <v>3102.1950946554716</v>
      </c>
      <c r="B4923">
        <v>21373.87514963944</v>
      </c>
    </row>
    <row r="4924" spans="1:2" x14ac:dyDescent="0.2">
      <c r="A4924">
        <v>-3401.6695086746768</v>
      </c>
      <c r="B4924">
        <v>21448.997829739645</v>
      </c>
    </row>
    <row r="4925" spans="1:2" x14ac:dyDescent="0.2">
      <c r="A4925">
        <v>11873.689225393173</v>
      </c>
      <c r="B4925">
        <v>21455.491323579714</v>
      </c>
    </row>
    <row r="4926" spans="1:2" x14ac:dyDescent="0.2">
      <c r="A4926">
        <v>11016.512066783587</v>
      </c>
      <c r="B4926">
        <v>21491.58957946967</v>
      </c>
    </row>
    <row r="4927" spans="1:2" x14ac:dyDescent="0.2">
      <c r="A4927">
        <v>-6387.8552883728407</v>
      </c>
      <c r="B4927">
        <v>21507.914291844761</v>
      </c>
    </row>
    <row r="4928" spans="1:2" x14ac:dyDescent="0.2">
      <c r="A4928">
        <v>561.16972295683809</v>
      </c>
      <c r="B4928">
        <v>21511.191737262416</v>
      </c>
    </row>
    <row r="4929" spans="1:2" x14ac:dyDescent="0.2">
      <c r="A4929">
        <v>-8211.5751004918711</v>
      </c>
      <c r="B4929">
        <v>21556.085004803026</v>
      </c>
    </row>
    <row r="4930" spans="1:2" x14ac:dyDescent="0.2">
      <c r="A4930">
        <v>11948.740676375222</v>
      </c>
      <c r="B4930">
        <v>21563.984272339323</v>
      </c>
    </row>
    <row r="4931" spans="1:2" x14ac:dyDescent="0.2">
      <c r="A4931">
        <v>-13443.748774792359</v>
      </c>
      <c r="B4931">
        <v>21588.380609403073</v>
      </c>
    </row>
    <row r="4932" spans="1:2" x14ac:dyDescent="0.2">
      <c r="A4932">
        <v>2925.0604701129196</v>
      </c>
      <c r="B4932">
        <v>21616.742220065615</v>
      </c>
    </row>
    <row r="4933" spans="1:2" x14ac:dyDescent="0.2">
      <c r="A4933">
        <v>1529.3252639075508</v>
      </c>
      <c r="B4933">
        <v>21633.278374765185</v>
      </c>
    </row>
    <row r="4934" spans="1:2" x14ac:dyDescent="0.2">
      <c r="A4934">
        <v>6578.3834643805167</v>
      </c>
      <c r="B4934">
        <v>21702.718177219504</v>
      </c>
    </row>
    <row r="4935" spans="1:2" x14ac:dyDescent="0.2">
      <c r="A4935">
        <v>13737.757508977258</v>
      </c>
      <c r="B4935">
        <v>21811.126117698674</v>
      </c>
    </row>
    <row r="4936" spans="1:2" x14ac:dyDescent="0.2">
      <c r="A4936">
        <v>1819.49891593543</v>
      </c>
      <c r="B4936">
        <v>21970.748005307658</v>
      </c>
    </row>
    <row r="4937" spans="1:2" x14ac:dyDescent="0.2">
      <c r="A4937">
        <v>-16124.072308714152</v>
      </c>
      <c r="B4937">
        <v>21977.458972671331</v>
      </c>
    </row>
    <row r="4938" spans="1:2" x14ac:dyDescent="0.2">
      <c r="A4938">
        <v>-150.05015289466246</v>
      </c>
      <c r="B4938">
        <v>22028.242028016306</v>
      </c>
    </row>
    <row r="4939" spans="1:2" x14ac:dyDescent="0.2">
      <c r="A4939">
        <v>17200.655473511317</v>
      </c>
      <c r="B4939">
        <v>22102.430974570714</v>
      </c>
    </row>
    <row r="4940" spans="1:2" x14ac:dyDescent="0.2">
      <c r="A4940">
        <v>-2004.1306932382286</v>
      </c>
      <c r="B4940">
        <v>22177.866817896487</v>
      </c>
    </row>
    <row r="4941" spans="1:2" x14ac:dyDescent="0.2">
      <c r="A4941">
        <v>-9543.8740600319579</v>
      </c>
      <c r="B4941">
        <v>22217.671697154467</v>
      </c>
    </row>
    <row r="4942" spans="1:2" x14ac:dyDescent="0.2">
      <c r="A4942">
        <v>15186.524612222216</v>
      </c>
      <c r="B4942">
        <v>22373.320905236411</v>
      </c>
    </row>
    <row r="4943" spans="1:2" x14ac:dyDescent="0.2">
      <c r="A4943">
        <v>13635.590078216395</v>
      </c>
      <c r="B4943">
        <v>22501.860776839661</v>
      </c>
    </row>
    <row r="4944" spans="1:2" x14ac:dyDescent="0.2">
      <c r="A4944">
        <v>-4168.3722800782998</v>
      </c>
      <c r="B4944">
        <v>22548.173590784951</v>
      </c>
    </row>
    <row r="4945" spans="1:2" x14ac:dyDescent="0.2">
      <c r="A4945">
        <v>12382.090827681299</v>
      </c>
      <c r="B4945">
        <v>22627.36543305614</v>
      </c>
    </row>
    <row r="4946" spans="1:2" x14ac:dyDescent="0.2">
      <c r="A4946">
        <v>2097.4049207259086</v>
      </c>
      <c r="B4946">
        <v>22675.297882498591</v>
      </c>
    </row>
    <row r="4947" spans="1:2" x14ac:dyDescent="0.2">
      <c r="A4947">
        <v>2595.4542820790084</v>
      </c>
      <c r="B4947">
        <v>22682.655707818456</v>
      </c>
    </row>
    <row r="4948" spans="1:2" x14ac:dyDescent="0.2">
      <c r="A4948">
        <v>-5843.4539563563594</v>
      </c>
      <c r="B4948">
        <v>22825.910943980562</v>
      </c>
    </row>
    <row r="4949" spans="1:2" x14ac:dyDescent="0.2">
      <c r="A4949">
        <v>-17122.813715397118</v>
      </c>
      <c r="B4949">
        <v>22976.463707374496</v>
      </c>
    </row>
    <row r="4950" spans="1:2" x14ac:dyDescent="0.2">
      <c r="A4950">
        <v>12681.964459812967</v>
      </c>
      <c r="B4950">
        <v>23083.752836768515</v>
      </c>
    </row>
    <row r="4951" spans="1:2" x14ac:dyDescent="0.2">
      <c r="A4951">
        <v>-579.16912076127483</v>
      </c>
      <c r="B4951">
        <v>23176.419257822199</v>
      </c>
    </row>
    <row r="4952" spans="1:2" x14ac:dyDescent="0.2">
      <c r="A4952">
        <v>4606.9695106941508</v>
      </c>
      <c r="B4952">
        <v>23252.880190942771</v>
      </c>
    </row>
    <row r="4953" spans="1:2" x14ac:dyDescent="0.2">
      <c r="A4953">
        <v>15600.447016534774</v>
      </c>
      <c r="B4953">
        <v>23261.863326441555</v>
      </c>
    </row>
    <row r="4954" spans="1:2" x14ac:dyDescent="0.2">
      <c r="A4954">
        <v>13800.787311823471</v>
      </c>
      <c r="B4954">
        <v>23343.273106150591</v>
      </c>
    </row>
    <row r="4955" spans="1:2" x14ac:dyDescent="0.2">
      <c r="A4955">
        <v>-581.64076156695955</v>
      </c>
      <c r="B4955">
        <v>23410.300877994247</v>
      </c>
    </row>
    <row r="4956" spans="1:2" x14ac:dyDescent="0.2">
      <c r="A4956">
        <v>5903.7186007471173</v>
      </c>
      <c r="B4956">
        <v>23489.963968630705</v>
      </c>
    </row>
    <row r="4957" spans="1:2" x14ac:dyDescent="0.2">
      <c r="A4957">
        <v>6295.1771367928013</v>
      </c>
      <c r="B4957">
        <v>23532.261018236895</v>
      </c>
    </row>
    <row r="4958" spans="1:2" x14ac:dyDescent="0.2">
      <c r="A4958">
        <v>-8438.5763006026973</v>
      </c>
      <c r="B4958">
        <v>23534.429581944074</v>
      </c>
    </row>
    <row r="4959" spans="1:2" x14ac:dyDescent="0.2">
      <c r="A4959">
        <v>4175.1449136434239</v>
      </c>
      <c r="B4959">
        <v>23559.950533405412</v>
      </c>
    </row>
    <row r="4960" spans="1:2" x14ac:dyDescent="0.2">
      <c r="A4960">
        <v>-26876.807152535359</v>
      </c>
      <c r="B4960">
        <v>23637.402627581148</v>
      </c>
    </row>
    <row r="4961" spans="1:2" x14ac:dyDescent="0.2">
      <c r="A4961">
        <v>-2216.3759696124471</v>
      </c>
      <c r="B4961">
        <v>23657.689238935622</v>
      </c>
    </row>
    <row r="4962" spans="1:2" x14ac:dyDescent="0.2">
      <c r="A4962">
        <v>-2695.4706039435696</v>
      </c>
      <c r="B4962">
        <v>23807.380613001063</v>
      </c>
    </row>
    <row r="4963" spans="1:2" x14ac:dyDescent="0.2">
      <c r="A4963">
        <v>16926.581835591496</v>
      </c>
      <c r="B4963">
        <v>23850.201771227294</v>
      </c>
    </row>
    <row r="4964" spans="1:2" x14ac:dyDescent="0.2">
      <c r="A4964">
        <v>-15935.941687072278</v>
      </c>
      <c r="B4964">
        <v>23880.450015163922</v>
      </c>
    </row>
    <row r="4965" spans="1:2" x14ac:dyDescent="0.2">
      <c r="A4965">
        <v>4284.6176606362569</v>
      </c>
      <c r="B4965">
        <v>23904.646659286518</v>
      </c>
    </row>
    <row r="4966" spans="1:2" x14ac:dyDescent="0.2">
      <c r="A4966">
        <v>2707.4867845838598</v>
      </c>
      <c r="B4966">
        <v>24005.807704162318</v>
      </c>
    </row>
    <row r="4967" spans="1:2" x14ac:dyDescent="0.2">
      <c r="A4967">
        <v>4824.8853727058449</v>
      </c>
      <c r="B4967">
        <v>24133.10394289167</v>
      </c>
    </row>
    <row r="4968" spans="1:2" x14ac:dyDescent="0.2">
      <c r="A4968">
        <v>-2731.4032376349205</v>
      </c>
      <c r="B4968">
        <v>24209.834536858427</v>
      </c>
    </row>
    <row r="4969" spans="1:2" x14ac:dyDescent="0.2">
      <c r="A4969">
        <v>-6521.4813199517084</v>
      </c>
      <c r="B4969">
        <v>24258.781137489015</v>
      </c>
    </row>
    <row r="4970" spans="1:2" x14ac:dyDescent="0.2">
      <c r="A4970">
        <v>-5859.4330096632475</v>
      </c>
      <c r="B4970">
        <v>24351.792158363154</v>
      </c>
    </row>
    <row r="4971" spans="1:2" x14ac:dyDescent="0.2">
      <c r="A4971">
        <v>-2363.1627861431334</v>
      </c>
      <c r="B4971">
        <v>24353.344308106869</v>
      </c>
    </row>
    <row r="4972" spans="1:2" x14ac:dyDescent="0.2">
      <c r="A4972">
        <v>-8236.1636544461653</v>
      </c>
      <c r="B4972">
        <v>24498.976706532005</v>
      </c>
    </row>
    <row r="4973" spans="1:2" x14ac:dyDescent="0.2">
      <c r="A4973">
        <v>-9726.9592606752121</v>
      </c>
      <c r="B4973">
        <v>24528.492691426596</v>
      </c>
    </row>
    <row r="4974" spans="1:2" x14ac:dyDescent="0.2">
      <c r="A4974">
        <v>6084.7680872112396</v>
      </c>
      <c r="B4974">
        <v>24564.370615008404</v>
      </c>
    </row>
    <row r="4975" spans="1:2" x14ac:dyDescent="0.2">
      <c r="A4975">
        <v>-5062.2035376094864</v>
      </c>
      <c r="B4975">
        <v>24568.866527725884</v>
      </c>
    </row>
    <row r="4976" spans="1:2" x14ac:dyDescent="0.2">
      <c r="A4976">
        <v>16838.734159433807</v>
      </c>
      <c r="B4976">
        <v>24718.388825477799</v>
      </c>
    </row>
    <row r="4977" spans="1:2" x14ac:dyDescent="0.2">
      <c r="A4977">
        <v>-11376.66179977206</v>
      </c>
      <c r="B4977">
        <v>24865.268715236685</v>
      </c>
    </row>
    <row r="4978" spans="1:2" x14ac:dyDescent="0.2">
      <c r="A4978">
        <v>9542.9835873629781</v>
      </c>
      <c r="B4978">
        <v>24934.976640608162</v>
      </c>
    </row>
    <row r="4979" spans="1:2" x14ac:dyDescent="0.2">
      <c r="A4979">
        <v>15928.504325676942</v>
      </c>
      <c r="B4979">
        <v>24987.218718082702</v>
      </c>
    </row>
    <row r="4980" spans="1:2" x14ac:dyDescent="0.2">
      <c r="A4980">
        <v>15967.736227237794</v>
      </c>
      <c r="B4980">
        <v>25159.29853209405</v>
      </c>
    </row>
    <row r="4981" spans="1:2" x14ac:dyDescent="0.2">
      <c r="A4981">
        <v>3157.3599834173801</v>
      </c>
      <c r="B4981">
        <v>25323.696665850293</v>
      </c>
    </row>
    <row r="4982" spans="1:2" x14ac:dyDescent="0.2">
      <c r="A4982">
        <v>9205.9454438734392</v>
      </c>
      <c r="B4982">
        <v>25900.353531433677</v>
      </c>
    </row>
    <row r="4983" spans="1:2" x14ac:dyDescent="0.2">
      <c r="A4983">
        <v>-8786.7756209914805</v>
      </c>
      <c r="B4983">
        <v>25994.559795870708</v>
      </c>
    </row>
    <row r="4984" spans="1:2" x14ac:dyDescent="0.2">
      <c r="A4984">
        <v>1107.073866472696</v>
      </c>
      <c r="B4984">
        <v>26005.862281659152</v>
      </c>
    </row>
    <row r="4985" spans="1:2" x14ac:dyDescent="0.2">
      <c r="A4985">
        <v>8259.4033522176906</v>
      </c>
      <c r="B4985">
        <v>26116.252050489653</v>
      </c>
    </row>
    <row r="4986" spans="1:2" x14ac:dyDescent="0.2">
      <c r="A4986">
        <v>-9648.9351458457531</v>
      </c>
      <c r="B4986">
        <v>26220.067140588479</v>
      </c>
    </row>
    <row r="4987" spans="1:2" x14ac:dyDescent="0.2">
      <c r="A4987">
        <v>-6910.2930383962812</v>
      </c>
      <c r="B4987">
        <v>26507.306457987186</v>
      </c>
    </row>
    <row r="4988" spans="1:2" x14ac:dyDescent="0.2">
      <c r="A4988">
        <v>5394.1763801685302</v>
      </c>
      <c r="B4988">
        <v>26593.214173467975</v>
      </c>
    </row>
    <row r="4989" spans="1:2" x14ac:dyDescent="0.2">
      <c r="A4989">
        <v>-9457.227719236922</v>
      </c>
      <c r="B4989">
        <v>26907.387120413012</v>
      </c>
    </row>
    <row r="4990" spans="1:2" x14ac:dyDescent="0.2">
      <c r="A4990">
        <v>-5858.7611711316858</v>
      </c>
      <c r="B4990">
        <v>26947.29174404376</v>
      </c>
    </row>
    <row r="4991" spans="1:2" x14ac:dyDescent="0.2">
      <c r="A4991">
        <v>10289.844891802</v>
      </c>
      <c r="B4991">
        <v>27144.42277443147</v>
      </c>
    </row>
    <row r="4992" spans="1:2" x14ac:dyDescent="0.2">
      <c r="A4992">
        <v>-3715.327343428391</v>
      </c>
      <c r="B4992">
        <v>27346.065000808594</v>
      </c>
    </row>
    <row r="4993" spans="1:2" x14ac:dyDescent="0.2">
      <c r="A4993">
        <v>11818.609447843919</v>
      </c>
      <c r="B4993">
        <v>27493.055867194547</v>
      </c>
    </row>
    <row r="4994" spans="1:2" x14ac:dyDescent="0.2">
      <c r="A4994">
        <v>17574.400281710085</v>
      </c>
      <c r="B4994">
        <v>27650.174903372194</v>
      </c>
    </row>
    <row r="4995" spans="1:2" x14ac:dyDescent="0.2">
      <c r="A4995">
        <v>9440.9325604806072</v>
      </c>
      <c r="B4995">
        <v>27757.473935964983</v>
      </c>
    </row>
    <row r="4996" spans="1:2" x14ac:dyDescent="0.2">
      <c r="A4996">
        <v>-4563.3872783501865</v>
      </c>
      <c r="B4996">
        <v>28028.591147369356</v>
      </c>
    </row>
    <row r="4997" spans="1:2" x14ac:dyDescent="0.2">
      <c r="A4997">
        <v>-15146.2862795486</v>
      </c>
      <c r="B4997">
        <v>28463.442246522463</v>
      </c>
    </row>
    <row r="4998" spans="1:2" x14ac:dyDescent="0.2">
      <c r="A4998">
        <v>77.896061714738607</v>
      </c>
      <c r="B4998">
        <v>28853.37189936245</v>
      </c>
    </row>
    <row r="4999" spans="1:2" x14ac:dyDescent="0.2">
      <c r="A4999">
        <v>12068.833395132038</v>
      </c>
      <c r="B4999">
        <v>28865.167513027263</v>
      </c>
    </row>
    <row r="5000" spans="1:2" x14ac:dyDescent="0.2">
      <c r="A5000">
        <v>10417.52547017677</v>
      </c>
      <c r="B5000">
        <v>29311.997308429185</v>
      </c>
    </row>
    <row r="5001" spans="1:2" x14ac:dyDescent="0.2">
      <c r="A5001">
        <v>-2121.1684782208758</v>
      </c>
      <c r="B5001">
        <v>29808.262254595698</v>
      </c>
    </row>
    <row r="5002" spans="1:2" x14ac:dyDescent="0.2">
      <c r="A5002">
        <v>1316.9275080186198</v>
      </c>
      <c r="B5002">
        <v>30802.363778557527</v>
      </c>
    </row>
    <row r="5003" spans="1:2" x14ac:dyDescent="0.2">
      <c r="A5003">
        <v>1660.9310522635933</v>
      </c>
      <c r="B5003">
        <v>31642.976623636496</v>
      </c>
    </row>
    <row r="5004" spans="1:2" x14ac:dyDescent="0.2">
      <c r="A5004">
        <v>1152.6326907250332</v>
      </c>
      <c r="B5004">
        <v>31920.050209633831</v>
      </c>
    </row>
    <row r="5005" spans="1:2" x14ac:dyDescent="0.2">
      <c r="A5005">
        <v>-2868.6789595389564</v>
      </c>
      <c r="B5005">
        <v>32511.851181467922</v>
      </c>
    </row>
    <row r="5006" spans="1:2" x14ac:dyDescent="0.2">
      <c r="A5006">
        <v>3065.9160025265883</v>
      </c>
      <c r="B5006">
        <v>34903.97293262936</v>
      </c>
    </row>
    <row r="5007" spans="1:2" x14ac:dyDescent="0.2">
      <c r="A5007">
        <v>290.73682023887523</v>
      </c>
      <c r="B5007">
        <v>35457.500019964005</v>
      </c>
    </row>
    <row r="5008" spans="1:2" x14ac:dyDescent="0.2">
      <c r="A5008">
        <v>-1350.734902638651</v>
      </c>
      <c r="B5008">
        <v>49630.443765941251</v>
      </c>
    </row>
  </sheetData>
  <sortState ref="B9:B5008">
    <sortCondition ref="B9:B5008"/>
  </sortState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  <ignoredErrors>
    <ignoredError sqref="E10" formulaRange="1"/>
  </ignoredError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Simulation_inputs</vt:lpstr>
      <vt:lpstr>Square_Root</vt:lpstr>
      <vt:lpstr>Output</vt:lpstr>
      <vt:lpstr>Q3&amp;4</vt:lpstr>
      <vt:lpstr>Hypothetical_Value</vt:lpstr>
      <vt:lpstr>iterations</vt:lpstr>
      <vt:lpstr>sigma1</vt:lpstr>
      <vt:lpstr>sigma10</vt:lpstr>
      <vt:lpstr>sigma2</vt:lpstr>
      <vt:lpstr>sigma3</vt:lpstr>
      <vt:lpstr>sigma4</vt:lpstr>
      <vt:lpstr>sigma5</vt:lpstr>
      <vt:lpstr>sigma6</vt:lpstr>
      <vt:lpstr>sigma7</vt:lpstr>
      <vt:lpstr>sigma8</vt:lpstr>
      <vt:lpstr>sigma9</vt:lpstr>
    </vt:vector>
  </TitlesOfParts>
  <Company>University of Illinois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 Pearson</dc:creator>
  <cp:lastModifiedBy>Neil Pearson</cp:lastModifiedBy>
  <dcterms:created xsi:type="dcterms:W3CDTF">1997-03-16T03:57:46Z</dcterms:created>
  <dcterms:modified xsi:type="dcterms:W3CDTF">2017-02-14T17:00:52Z</dcterms:modified>
</cp:coreProperties>
</file>